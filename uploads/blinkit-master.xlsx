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8379ac3713edc5/Desktop/Tushar/"/>
    </mc:Choice>
  </mc:AlternateContent>
  <xr:revisionPtr revIDLastSave="9" documentId="8_{1F6779C5-3377-4DBC-A26F-AD30719178B2}" xr6:coauthVersionLast="47" xr6:coauthVersionMax="47" xr10:uidLastSave="{F069C0CD-10D6-4A34-B981-3DDA9108A067}"/>
  <bookViews>
    <workbookView xWindow="-120" yWindow="-120" windowWidth="29040" windowHeight="15720" xr2:uid="{3FF2E4B6-C033-4096-936F-D21EF00755DE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Sheet1!$A$1:$AH$34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4" i="1" l="1"/>
  <c r="V34" i="1" s="1"/>
  <c r="S34" i="1"/>
  <c r="AB33" i="1"/>
  <c r="V33" i="1" s="1"/>
  <c r="S33" i="1"/>
  <c r="AB32" i="1"/>
  <c r="N32" i="1" s="1"/>
  <c r="S32" i="1"/>
  <c r="AB31" i="1"/>
  <c r="V31" i="1" s="1"/>
  <c r="S31" i="1"/>
  <c r="AB30" i="1"/>
  <c r="V30" i="1" s="1"/>
  <c r="S30" i="1"/>
  <c r="AB29" i="1"/>
  <c r="N29" i="1" s="1"/>
  <c r="S29" i="1"/>
  <c r="AB28" i="1"/>
  <c r="N28" i="1" s="1"/>
  <c r="S28" i="1"/>
  <c r="AC27" i="1"/>
  <c r="AB27" i="1"/>
  <c r="V27" i="1" s="1"/>
  <c r="S27" i="1"/>
  <c r="L27" i="1"/>
  <c r="K27" i="1"/>
  <c r="AC26" i="1"/>
  <c r="AB26" i="1"/>
  <c r="N26" i="1" s="1"/>
  <c r="S26" i="1"/>
  <c r="L26" i="1"/>
  <c r="K26" i="1"/>
  <c r="AC25" i="1"/>
  <c r="AB25" i="1"/>
  <c r="U25" i="1" s="1"/>
  <c r="S25" i="1"/>
  <c r="L25" i="1"/>
  <c r="K25" i="1"/>
  <c r="AC24" i="1"/>
  <c r="AB24" i="1"/>
  <c r="V24" i="1" s="1"/>
  <c r="S24" i="1"/>
  <c r="L24" i="1"/>
  <c r="K24" i="1"/>
  <c r="AC23" i="1"/>
  <c r="AB23" i="1"/>
  <c r="M23" i="1" s="1"/>
  <c r="S23" i="1"/>
  <c r="L23" i="1"/>
  <c r="K23" i="1"/>
  <c r="AC22" i="1"/>
  <c r="AB22" i="1"/>
  <c r="N22" i="1" s="1"/>
  <c r="S22" i="1"/>
  <c r="L22" i="1"/>
  <c r="K22" i="1"/>
  <c r="AC21" i="1"/>
  <c r="AB21" i="1"/>
  <c r="W21" i="1" s="1"/>
  <c r="S21" i="1"/>
  <c r="L21" i="1"/>
  <c r="K21" i="1"/>
  <c r="AC20" i="1"/>
  <c r="AB20" i="1"/>
  <c r="W20" i="1" s="1"/>
  <c r="S20" i="1"/>
  <c r="L20" i="1"/>
  <c r="K20" i="1"/>
  <c r="AC19" i="1"/>
  <c r="AB19" i="1"/>
  <c r="N19" i="1" s="1"/>
  <c r="S19" i="1"/>
  <c r="L19" i="1"/>
  <c r="K19" i="1"/>
  <c r="AC18" i="1"/>
  <c r="AB18" i="1"/>
  <c r="W18" i="1" s="1"/>
  <c r="S18" i="1"/>
  <c r="L18" i="1"/>
  <c r="K18" i="1"/>
  <c r="AC17" i="1"/>
  <c r="AB17" i="1"/>
  <c r="U17" i="1" s="1"/>
  <c r="S17" i="1"/>
  <c r="L17" i="1"/>
  <c r="K17" i="1"/>
  <c r="AC16" i="1"/>
  <c r="AB16" i="1"/>
  <c r="W16" i="1" s="1"/>
  <c r="S16" i="1"/>
  <c r="L16" i="1"/>
  <c r="K16" i="1"/>
  <c r="AC15" i="1"/>
  <c r="AB15" i="1"/>
  <c r="U15" i="1" s="1"/>
  <c r="S15" i="1"/>
  <c r="L15" i="1"/>
  <c r="K15" i="1"/>
  <c r="AC14" i="1"/>
  <c r="AB14" i="1"/>
  <c r="W14" i="1" s="1"/>
  <c r="S14" i="1"/>
  <c r="L14" i="1"/>
  <c r="K14" i="1"/>
  <c r="AC13" i="1"/>
  <c r="AB13" i="1"/>
  <c r="P13" i="1" s="1"/>
  <c r="S13" i="1"/>
  <c r="L13" i="1"/>
  <c r="K13" i="1"/>
  <c r="AC12" i="1"/>
  <c r="AB12" i="1"/>
  <c r="W12" i="1" s="1"/>
  <c r="S12" i="1"/>
  <c r="L12" i="1"/>
  <c r="K12" i="1"/>
  <c r="AC11" i="1"/>
  <c r="AB11" i="1"/>
  <c r="S11" i="1"/>
  <c r="L11" i="1"/>
  <c r="K11" i="1"/>
  <c r="AC10" i="1"/>
  <c r="AB10" i="1"/>
  <c r="U10" i="1" s="1"/>
  <c r="S10" i="1"/>
  <c r="L10" i="1"/>
  <c r="K10" i="1"/>
  <c r="AC9" i="1"/>
  <c r="AB9" i="1"/>
  <c r="U9" i="1" s="1"/>
  <c r="S9" i="1"/>
  <c r="L9" i="1"/>
  <c r="K9" i="1"/>
  <c r="AC8" i="1"/>
  <c r="AB8" i="1"/>
  <c r="S8" i="1"/>
  <c r="L8" i="1"/>
  <c r="K8" i="1"/>
  <c r="AC7" i="1"/>
  <c r="AB7" i="1"/>
  <c r="U7" i="1" s="1"/>
  <c r="S7" i="1"/>
  <c r="L7" i="1"/>
  <c r="K7" i="1"/>
  <c r="AC6" i="1"/>
  <c r="AB6" i="1"/>
  <c r="N6" i="1" s="1"/>
  <c r="S6" i="1"/>
  <c r="L6" i="1"/>
  <c r="K6" i="1"/>
  <c r="AC5" i="1"/>
  <c r="AB5" i="1"/>
  <c r="U5" i="1" s="1"/>
  <c r="S5" i="1"/>
  <c r="L5" i="1"/>
  <c r="K5" i="1"/>
  <c r="AC4" i="1"/>
  <c r="AB4" i="1"/>
  <c r="N4" i="1" s="1"/>
  <c r="S4" i="1"/>
  <c r="L4" i="1"/>
  <c r="K4" i="1"/>
  <c r="AC3" i="1"/>
  <c r="AB3" i="1"/>
  <c r="V3" i="1" s="1"/>
  <c r="S3" i="1"/>
  <c r="L3" i="1"/>
  <c r="K3" i="1"/>
  <c r="AC2" i="1"/>
  <c r="AB2" i="1"/>
  <c r="N2" i="1" s="1"/>
  <c r="S2" i="1"/>
  <c r="L2" i="1"/>
  <c r="K2" i="1"/>
  <c r="P23" i="1" l="1"/>
  <c r="N23" i="1"/>
  <c r="M5" i="1"/>
  <c r="P2" i="1"/>
  <c r="M20" i="1"/>
  <c r="N7" i="1"/>
  <c r="P12" i="1"/>
  <c r="P25" i="1"/>
  <c r="P20" i="1"/>
  <c r="V25" i="1"/>
  <c r="U34" i="1"/>
  <c r="M7" i="1"/>
  <c r="W25" i="1"/>
  <c r="V26" i="1"/>
  <c r="M31" i="1"/>
  <c r="W34" i="1"/>
  <c r="W3" i="1"/>
  <c r="V4" i="1"/>
  <c r="U33" i="1"/>
  <c r="V5" i="1"/>
  <c r="W9" i="1"/>
  <c r="V10" i="1"/>
  <c r="U12" i="1"/>
  <c r="U13" i="1"/>
  <c r="V7" i="1"/>
  <c r="V13" i="1"/>
  <c r="V15" i="1"/>
  <c r="W15" i="1"/>
  <c r="W4" i="1"/>
  <c r="W10" i="1"/>
  <c r="W27" i="1"/>
  <c r="W5" i="1"/>
  <c r="M10" i="1"/>
  <c r="V12" i="1"/>
  <c r="N10" i="1"/>
  <c r="M4" i="1"/>
  <c r="W7" i="1"/>
  <c r="P10" i="1"/>
  <c r="W13" i="1"/>
  <c r="P16" i="1"/>
  <c r="P26" i="1"/>
  <c r="P28" i="1"/>
  <c r="W33" i="1"/>
  <c r="U4" i="1"/>
  <c r="N12" i="1"/>
  <c r="V17" i="1"/>
  <c r="U26" i="1"/>
  <c r="P27" i="1"/>
  <c r="P32" i="1"/>
  <c r="N3" i="1"/>
  <c r="P3" i="1"/>
  <c r="N5" i="1"/>
  <c r="P5" i="1"/>
  <c r="M9" i="1"/>
  <c r="N13" i="1"/>
  <c r="M21" i="1"/>
  <c r="P30" i="1"/>
  <c r="P31" i="1"/>
  <c r="M3" i="1"/>
  <c r="M13" i="1"/>
  <c r="U3" i="1"/>
  <c r="P6" i="1"/>
  <c r="V9" i="1"/>
  <c r="M12" i="1"/>
  <c r="M15" i="1"/>
  <c r="U20" i="1"/>
  <c r="N21" i="1"/>
  <c r="U23" i="1"/>
  <c r="M34" i="1"/>
  <c r="N15" i="1"/>
  <c r="P21" i="1"/>
  <c r="V23" i="1"/>
  <c r="M24" i="1"/>
  <c r="P29" i="1"/>
  <c r="U30" i="1"/>
  <c r="U31" i="1"/>
  <c r="P33" i="1"/>
  <c r="P34" i="1"/>
  <c r="P15" i="1"/>
  <c r="P19" i="1"/>
  <c r="W23" i="1"/>
  <c r="P24" i="1"/>
  <c r="N25" i="1"/>
  <c r="W30" i="1"/>
  <c r="W31" i="1"/>
  <c r="U21" i="1"/>
  <c r="U29" i="1"/>
  <c r="V19" i="1"/>
  <c r="V21" i="1"/>
  <c r="P22" i="1"/>
  <c r="U24" i="1"/>
  <c r="P18" i="1"/>
  <c r="W19" i="1"/>
  <c r="W24" i="1"/>
  <c r="V8" i="1"/>
  <c r="N8" i="1"/>
  <c r="V11" i="1"/>
  <c r="N11" i="1"/>
  <c r="N17" i="1"/>
  <c r="V18" i="1"/>
  <c r="U6" i="1"/>
  <c r="M8" i="1"/>
  <c r="M11" i="1"/>
  <c r="M14" i="1"/>
  <c r="U14" i="1"/>
  <c r="V2" i="1"/>
  <c r="W6" i="1"/>
  <c r="P8" i="1"/>
  <c r="N14" i="1"/>
  <c r="M6" i="1"/>
  <c r="U8" i="1"/>
  <c r="U11" i="1"/>
  <c r="P17" i="1"/>
  <c r="U2" i="1"/>
  <c r="V6" i="1"/>
  <c r="P11" i="1"/>
  <c r="M17" i="1"/>
  <c r="W2" i="1"/>
  <c r="P9" i="1"/>
  <c r="P14" i="1"/>
  <c r="V16" i="1"/>
  <c r="U16" i="1"/>
  <c r="M16" i="1"/>
  <c r="M2" i="1"/>
  <c r="P4" i="1"/>
  <c r="P7" i="1"/>
  <c r="W8" i="1"/>
  <c r="W11" i="1"/>
  <c r="V14" i="1"/>
  <c r="N16" i="1"/>
  <c r="N18" i="1"/>
  <c r="M18" i="1"/>
  <c r="U18" i="1"/>
  <c r="W17" i="1"/>
  <c r="N20" i="1"/>
  <c r="N24" i="1"/>
  <c r="M25" i="1"/>
  <c r="W26" i="1"/>
  <c r="V29" i="1"/>
  <c r="N31" i="1"/>
  <c r="N34" i="1"/>
  <c r="U19" i="1"/>
  <c r="U22" i="1"/>
  <c r="M27" i="1"/>
  <c r="U28" i="1"/>
  <c r="W29" i="1"/>
  <c r="M30" i="1"/>
  <c r="U32" i="1"/>
  <c r="M33" i="1"/>
  <c r="V22" i="1"/>
  <c r="M26" i="1"/>
  <c r="N27" i="1"/>
  <c r="V28" i="1"/>
  <c r="N30" i="1"/>
  <c r="V32" i="1"/>
  <c r="N33" i="1"/>
  <c r="W22" i="1"/>
  <c r="W28" i="1"/>
  <c r="M29" i="1"/>
  <c r="W32" i="1"/>
  <c r="V20" i="1"/>
  <c r="M19" i="1"/>
  <c r="M22" i="1"/>
  <c r="U27" i="1"/>
  <c r="M28" i="1"/>
  <c r="M32" i="1"/>
  <c r="X9" i="1" l="1"/>
  <c r="Y9" i="1" s="1"/>
  <c r="X13" i="1"/>
  <c r="Y13" i="1" s="1"/>
  <c r="Z13" i="1" s="1"/>
  <c r="X3" i="1"/>
  <c r="Y3" i="1" s="1"/>
  <c r="Z3" i="1" s="1"/>
  <c r="X4" i="1"/>
  <c r="Y4" i="1" s="1"/>
  <c r="Z4" i="1" s="1"/>
  <c r="X7" i="1"/>
  <c r="Y7" i="1" s="1"/>
  <c r="X15" i="1"/>
  <c r="Y15" i="1" s="1"/>
  <c r="Z15" i="1" s="1"/>
  <c r="X10" i="1"/>
  <c r="Y10" i="1" s="1"/>
  <c r="Z10" i="1" s="1"/>
  <c r="X26" i="1"/>
  <c r="Y26" i="1" s="1"/>
  <c r="Z26" i="1" s="1"/>
  <c r="X2" i="1"/>
  <c r="Y2" i="1" s="1"/>
  <c r="X12" i="1"/>
  <c r="Y12" i="1" s="1"/>
  <c r="Z12" i="1" s="1"/>
  <c r="X17" i="1"/>
  <c r="Y17" i="1" s="1"/>
  <c r="X33" i="1"/>
  <c r="Y33" i="1" s="1"/>
  <c r="Z33" i="1" s="1"/>
  <c r="X19" i="1"/>
  <c r="Y19" i="1" s="1"/>
  <c r="Z19" i="1" s="1"/>
  <c r="X23" i="1"/>
  <c r="Y23" i="1" s="1"/>
  <c r="Z23" i="1" s="1"/>
  <c r="X20" i="1"/>
  <c r="Y20" i="1" s="1"/>
  <c r="Z20" i="1" s="1"/>
  <c r="X32" i="1"/>
  <c r="Y32" i="1" s="1"/>
  <c r="Z32" i="1" s="1"/>
  <c r="X5" i="1"/>
  <c r="Y5" i="1" s="1"/>
  <c r="Z5" i="1" s="1"/>
  <c r="X27" i="1"/>
  <c r="Y27" i="1" s="1"/>
  <c r="Z27" i="1" s="1"/>
  <c r="X6" i="1"/>
  <c r="Y6" i="1" s="1"/>
  <c r="Z6" i="1" s="1"/>
  <c r="X28" i="1"/>
  <c r="Y28" i="1" s="1"/>
  <c r="Z28" i="1" s="1"/>
  <c r="X24" i="1"/>
  <c r="Y24" i="1" s="1"/>
  <c r="X21" i="1"/>
  <c r="Y21" i="1" s="1"/>
  <c r="X22" i="1"/>
  <c r="Y22" i="1" s="1"/>
  <c r="Z22" i="1" s="1"/>
  <c r="X34" i="1"/>
  <c r="Y34" i="1" s="1"/>
  <c r="X29" i="1"/>
  <c r="Y29" i="1" s="1"/>
  <c r="Z29" i="1" s="1"/>
  <c r="X31" i="1"/>
  <c r="Y31" i="1" s="1"/>
  <c r="Z31" i="1" s="1"/>
  <c r="X25" i="1"/>
  <c r="Y25" i="1" s="1"/>
  <c r="X16" i="1"/>
  <c r="Y16" i="1" s="1"/>
  <c r="X11" i="1"/>
  <c r="Y11" i="1" s="1"/>
  <c r="Z11" i="1" s="1"/>
  <c r="Z7" i="1"/>
  <c r="Z9" i="1"/>
  <c r="X8" i="1"/>
  <c r="Y8" i="1" s="1"/>
  <c r="X14" i="1"/>
  <c r="Y14" i="1" s="1"/>
  <c r="X30" i="1"/>
  <c r="Y30" i="1" s="1"/>
  <c r="X18" i="1"/>
  <c r="Y18" i="1" s="1"/>
  <c r="Z2" i="1" l="1"/>
  <c r="Z24" i="1"/>
  <c r="Z17" i="1"/>
  <c r="Z34" i="1"/>
  <c r="Z21" i="1"/>
  <c r="Z16" i="1"/>
  <c r="Z25" i="1"/>
  <c r="Z8" i="1"/>
  <c r="Z30" i="1"/>
  <c r="Z14" i="1"/>
  <c r="Z18" i="1"/>
</calcChain>
</file>

<file path=xl/sharedStrings.xml><?xml version="1.0" encoding="utf-8"?>
<sst xmlns="http://schemas.openxmlformats.org/spreadsheetml/2006/main" count="287" uniqueCount="186">
  <si>
    <t>Item ID</t>
  </si>
  <si>
    <t>SKU</t>
  </si>
  <si>
    <t>ASIN</t>
  </si>
  <si>
    <t>Brand</t>
  </si>
  <si>
    <t>Model</t>
  </si>
  <si>
    <t>Expansion Level</t>
  </si>
  <si>
    <t>Category L2</t>
  </si>
  <si>
    <t>DP</t>
  </si>
  <si>
    <t>NLC</t>
  </si>
  <si>
    <t>Ad Cost</t>
  </si>
  <si>
    <t>Comission</t>
  </si>
  <si>
    <t>Fulfillment</t>
  </si>
  <si>
    <t>Return</t>
  </si>
  <si>
    <t>Storage (2 M)</t>
  </si>
  <si>
    <t>Shipping (15/KG)</t>
  </si>
  <si>
    <t>Inwarding</t>
  </si>
  <si>
    <t>OH</t>
  </si>
  <si>
    <t>Finance</t>
  </si>
  <si>
    <t>GST</t>
  </si>
  <si>
    <t>Total Cost</t>
  </si>
  <si>
    <t>Margin</t>
  </si>
  <si>
    <t>Margin %</t>
  </si>
  <si>
    <t>Comission %</t>
  </si>
  <si>
    <t>Blinkit Pricing</t>
  </si>
  <si>
    <t>Amazon BAU</t>
  </si>
  <si>
    <t>FBA78980</t>
  </si>
  <si>
    <t>B0CDPMX152</t>
  </si>
  <si>
    <t>FBA78981</t>
  </si>
  <si>
    <t>B0CDPP45BM</t>
  </si>
  <si>
    <t>Nexlev</t>
  </si>
  <si>
    <t>GS-02</t>
  </si>
  <si>
    <t>Level 1</t>
  </si>
  <si>
    <t>SC-01</t>
  </si>
  <si>
    <t>Fabric Care</t>
  </si>
  <si>
    <t>Cleaning &amp; Vacumming</t>
  </si>
  <si>
    <t>FBA79263</t>
  </si>
  <si>
    <t>B0CYSLCRQS</t>
  </si>
  <si>
    <t>MR-01</t>
  </si>
  <si>
    <t>FBA79266</t>
  </si>
  <si>
    <t>B0D2LGR3GG</t>
  </si>
  <si>
    <t>T-01</t>
  </si>
  <si>
    <t>Level 4</t>
  </si>
  <si>
    <t>Trimmers &amp; Body Groomers</t>
  </si>
  <si>
    <t>FBA79268</t>
  </si>
  <si>
    <t>B0D383WQPB</t>
  </si>
  <si>
    <t>GS-05</t>
  </si>
  <si>
    <t>FBK79271</t>
  </si>
  <si>
    <t>B0DQ8W1RBV</t>
  </si>
  <si>
    <t>V-01 Rose Gold</t>
  </si>
  <si>
    <t>Hair Care</t>
  </si>
  <si>
    <t>FBA79279</t>
  </si>
  <si>
    <t>B0D8445KJN</t>
  </si>
  <si>
    <t>LR-01</t>
  </si>
  <si>
    <t>FBA79332</t>
  </si>
  <si>
    <t>B0D63FKYZ5</t>
  </si>
  <si>
    <t>FBA79333</t>
  </si>
  <si>
    <t>B0D63DTKQB</t>
  </si>
  <si>
    <t>FBA79346</t>
  </si>
  <si>
    <t>B0D25LNDSY</t>
  </si>
  <si>
    <t>HM-01</t>
  </si>
  <si>
    <t>HM-02</t>
  </si>
  <si>
    <t>ETC-04-WH</t>
  </si>
  <si>
    <t>Oral Care</t>
  </si>
  <si>
    <t>FBA79350</t>
  </si>
  <si>
    <t>B0D67727VG</t>
  </si>
  <si>
    <t>EA-01</t>
  </si>
  <si>
    <t>FBA79404</t>
  </si>
  <si>
    <t>B0D9KFZYG8</t>
  </si>
  <si>
    <t>FS-01</t>
  </si>
  <si>
    <t>Skin Care</t>
  </si>
  <si>
    <t>FBA79406</t>
  </si>
  <si>
    <t>B0DCK3N2JJ</t>
  </si>
  <si>
    <t>HSB-04</t>
  </si>
  <si>
    <t>FBA79452</t>
  </si>
  <si>
    <t>B0DCGHVN81</t>
  </si>
  <si>
    <t>VC-01</t>
  </si>
  <si>
    <t>FBA79464</t>
  </si>
  <si>
    <t>B0DFCDKMWR</t>
  </si>
  <si>
    <t>CM-01-BL</t>
  </si>
  <si>
    <t>Electric Massagers</t>
  </si>
  <si>
    <t>FBA79467</t>
  </si>
  <si>
    <t>B0DK9LYT4P</t>
  </si>
  <si>
    <t>TM-01</t>
  </si>
  <si>
    <t>FBA79473</t>
  </si>
  <si>
    <t>B0DJFH6RTL</t>
  </si>
  <si>
    <t>TI-02</t>
  </si>
  <si>
    <t>Car Accessories</t>
  </si>
  <si>
    <t>FBA79483</t>
  </si>
  <si>
    <t>B0DK9NRBWJ</t>
  </si>
  <si>
    <t>TM-03</t>
  </si>
  <si>
    <t>FBA79489</t>
  </si>
  <si>
    <t>B0DFD123P5</t>
  </si>
  <si>
    <t>KE-02</t>
  </si>
  <si>
    <t>Kitchen Appliances</t>
  </si>
  <si>
    <t>FBA79570</t>
  </si>
  <si>
    <t>B0DKJXRXKM</t>
  </si>
  <si>
    <t>BR-01</t>
  </si>
  <si>
    <t>FBA79573</t>
  </si>
  <si>
    <t>B0DKK15YNJ</t>
  </si>
  <si>
    <t>FBA79589</t>
  </si>
  <si>
    <t>B0DNJP9T35</t>
  </si>
  <si>
    <t>FBA79590</t>
  </si>
  <si>
    <t>B0DM6BB3VT</t>
  </si>
  <si>
    <t>EA-02</t>
  </si>
  <si>
    <t>SS-02</t>
  </si>
  <si>
    <t>CFM-01</t>
  </si>
  <si>
    <t>FBA79652</t>
  </si>
  <si>
    <t>B0F43P6D23</t>
  </si>
  <si>
    <t>SC-05</t>
  </si>
  <si>
    <t>FBA79677</t>
  </si>
  <si>
    <t>B0DVCBR11D</t>
  </si>
  <si>
    <t>NP-06</t>
  </si>
  <si>
    <t>FBA79692</t>
  </si>
  <si>
    <t>B0DVC58QPZ</t>
  </si>
  <si>
    <t>AP-03</t>
  </si>
  <si>
    <t>FBA79819</t>
  </si>
  <si>
    <t>B0FT8R24QM</t>
  </si>
  <si>
    <t>FBA75673</t>
  </si>
  <si>
    <t>B0B4DPX2J2</t>
  </si>
  <si>
    <t>FBA76864</t>
  </si>
  <si>
    <t>B0BPLZ5CGV</t>
  </si>
  <si>
    <t>FBA79380</t>
  </si>
  <si>
    <t>B0D3M1B4Z8</t>
  </si>
  <si>
    <t>FBA79108</t>
  </si>
  <si>
    <t>B0CM9L1QZG</t>
  </si>
  <si>
    <t>LR-03</t>
  </si>
  <si>
    <t>Audio Array</t>
  </si>
  <si>
    <t>AM-C1</t>
  </si>
  <si>
    <t>AI-04</t>
  </si>
  <si>
    <t>AM-C46</t>
  </si>
  <si>
    <t>AM-W16</t>
  </si>
  <si>
    <t>USB Microphone Kit - Boomarm</t>
  </si>
  <si>
    <t>Audio Interface</t>
  </si>
  <si>
    <t>Condenser Mic with Boom Arm</t>
  </si>
  <si>
    <t>Wireless Lapel Microphone</t>
  </si>
  <si>
    <t>FBA79107</t>
  </si>
  <si>
    <t>B0CM9P5CCK</t>
  </si>
  <si>
    <t>FBA79005</t>
  </si>
  <si>
    <t>B0CKHVHVQ1</t>
  </si>
  <si>
    <t>AM-W17</t>
  </si>
  <si>
    <t>AM-W45</t>
  </si>
  <si>
    <t>Wireless Conference Microphone</t>
  </si>
  <si>
    <t>Product Weight (Kg)</t>
  </si>
  <si>
    <t>Category L1</t>
  </si>
  <si>
    <t>Description</t>
  </si>
  <si>
    <t>Storage (3 M)</t>
  </si>
  <si>
    <t>Home &amp; Kitchen</t>
  </si>
  <si>
    <t>Nexlev Garment Steamer - Swift</t>
  </si>
  <si>
    <t>Nexlev Steam Cleaner</t>
  </si>
  <si>
    <t>HPC</t>
  </si>
  <si>
    <t>Smart Care Mite Remover (Nexlev Dust Mite UV)</t>
  </si>
  <si>
    <t>Velvet Vibe Multi-Trimmer</t>
  </si>
  <si>
    <t>Nexlev Smart Care Travel Steamer - Nomad</t>
  </si>
  <si>
    <t>Nexlev Volumizer</t>
  </si>
  <si>
    <t>Nexlev Lint Remover - Mini</t>
  </si>
  <si>
    <t>Scalp Massager</t>
  </si>
  <si>
    <t>Scalp Massager Pro</t>
  </si>
  <si>
    <t>Electric Toothbrush - C Type - White-Sparkle Pro</t>
  </si>
  <si>
    <t>Electric Oil Applicator</t>
  </si>
  <si>
    <t>Nexlev Face Steamer</t>
  </si>
  <si>
    <t>Nexlev Hair Straightener Brush - Portable</t>
  </si>
  <si>
    <t>Nexlev Stick Vacuum Cleaner</t>
  </si>
  <si>
    <t>Nexlev Cramp Massager Blue</t>
  </si>
  <si>
    <t>Car &amp; Motorbike</t>
  </si>
  <si>
    <t>Beard Boss Men Beard Trimmer</t>
  </si>
  <si>
    <t>Nexlev Corded Tyre Inflator</t>
  </si>
  <si>
    <t>Nexlev Intimate Body Trimmer With Charging Base, Display and Light</t>
  </si>
  <si>
    <t>Nexlev Multi-Purpose Food Kettle 1.5L</t>
  </si>
  <si>
    <t>Nexlev Black Head Remover</t>
  </si>
  <si>
    <t>Nexlev Oil Applicator Comb</t>
  </si>
  <si>
    <t>Nexlev Spin Scrubber - mini</t>
  </si>
  <si>
    <t>NexLev Calf Massager</t>
  </si>
  <si>
    <t>Steam Cleaner-Shine Pro</t>
  </si>
  <si>
    <t>Travel &amp; outdoor</t>
  </si>
  <si>
    <t>NexLev Donut Pillow - Blue</t>
  </si>
  <si>
    <t>NexLev Air Purifier Mini</t>
  </si>
  <si>
    <t>Lint Remover - Battery Operated</t>
  </si>
  <si>
    <t>Microphone Condenser</t>
  </si>
  <si>
    <t>USB Condenser Microphone Kit</t>
  </si>
  <si>
    <t>2x2 Audio Interface</t>
  </si>
  <si>
    <t>Professional RGB USB Condenser Microphone Kit</t>
  </si>
  <si>
    <t>Microphone Wireless Lapel</t>
  </si>
  <si>
    <t>Solo Wireless Lapel Microphone</t>
  </si>
  <si>
    <t>Dual Wireless Lapel Microphone</t>
  </si>
  <si>
    <t>Microphone Conference</t>
  </si>
  <si>
    <t>Wireless Conference Microphone with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</si>
</sst>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]#,##0.00"/>
    <numFmt numFmtId="165" formatCode="_ [$₹-4009]\ * #,##0.0_ ;_ [$₹-4009]\ * \-#,##0.0_ ;_ [$₹-4009]\ * &quot;-&quot;??_ ;_ @_ "/>
  </numFmts>
  <fonts count="7" x14ac:knownFonts="1">
    <font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rgb="FF0563C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5" fillId="2" borderId="0" xfId="0" applyFont="1" applyFill="1"/>
    <xf numFmtId="0" fontId="4" fillId="0" borderId="0" xfId="0" applyFont="1"/>
    <xf numFmtId="0" fontId="6" fillId="0" borderId="0" xfId="0" applyFont="1"/>
    <xf numFmtId="0" fontId="4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mbi\Downloads\Nexlev%20Product%20Master.xlsx" TargetMode="External"/><Relationship Id="rId1" Type="http://schemas.openxmlformats.org/officeDocument/2006/relationships/externalLinkPath" Target="file:///C:\Users\Cambi\Downloads\Nexlev%20Product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ikas\Blinkit\Blinkit%20&amp;%20AMZ%20Price%20Mapping.xlsx" TargetMode="External"/><Relationship Id="rId1" Type="http://schemas.openxmlformats.org/officeDocument/2006/relationships/externalLinkPath" Target="file:///D:\Vikas\Blinkit\Blinkit%20&amp;%20AMZ%20Price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Sheet"/>
      <sheetName val="Margin Calculation"/>
      <sheetName val="Amazon Live Products"/>
      <sheetName val="Website"/>
      <sheetName val="B2B"/>
      <sheetName val="CRED"/>
      <sheetName val="Myntra"/>
      <sheetName val="HYPD"/>
      <sheetName val="Vijay Sales"/>
      <sheetName val="Pop UPI"/>
      <sheetName val="Snapmint"/>
      <sheetName val="Sangeetha"/>
      <sheetName val="BIW"/>
      <sheetName val="Vantage Circle"/>
      <sheetName val="Enertia"/>
      <sheetName val="Shree"/>
      <sheetName val="Blinkit"/>
      <sheetName val="Sheet28"/>
      <sheetName val="Coin Rush"/>
      <sheetName val="Spares"/>
      <sheetName val="Gifting"/>
      <sheetName val="Master Pricing Sheet"/>
      <sheetName val="Sheet6"/>
      <sheetName val="Sheet23"/>
      <sheetName val="Sheet25"/>
      <sheetName val="Swiggy"/>
      <sheetName val="Flipkart"/>
      <sheetName val="Chair Changes"/>
      <sheetName val="Falcon Series Listing Content"/>
      <sheetName val="Listing and Packaging Images St"/>
    </sheetNames>
    <sheetDataSet>
      <sheetData sheetId="0"/>
      <sheetData sheetId="1"/>
      <sheetData sheetId="2">
        <row r="1">
          <cell r="F1" t="str">
            <v>ASIN</v>
          </cell>
          <cell r="G1" t="str">
            <v>Model</v>
          </cell>
          <cell r="H1" t="str">
            <v>Category L1</v>
          </cell>
          <cell r="I1" t="str">
            <v>Category L2</v>
          </cell>
          <cell r="J1" t="str">
            <v>Description</v>
          </cell>
          <cell r="K1" t="str">
            <v>HSN Code</v>
          </cell>
          <cell r="L1" t="str">
            <v>FOB (USD)</v>
          </cell>
          <cell r="M1" t="str">
            <v>Previous Price</v>
          </cell>
          <cell r="N1" t="str">
            <v>Freight+Clearance</v>
          </cell>
          <cell r="O1" t="str">
            <v>Duty and Surcharge</v>
          </cell>
          <cell r="P1" t="str">
            <v>DP</v>
          </cell>
          <cell r="Q1" t="str">
            <v>NLC</v>
          </cell>
        </row>
        <row r="2">
          <cell r="F2" t="str">
            <v>B0CDPMX152</v>
          </cell>
          <cell r="G2" t="str">
            <v>GS-02</v>
          </cell>
          <cell r="H2" t="str">
            <v>Home &amp; Kitchen</v>
          </cell>
          <cell r="I2" t="str">
            <v>Fabric Care</v>
          </cell>
          <cell r="J2" t="str">
            <v>Nexlev Garment Steamer - Swift</v>
          </cell>
          <cell r="K2">
            <v>85167990</v>
          </cell>
          <cell r="L2">
            <v>9.4499999999999993</v>
          </cell>
          <cell r="M2">
            <v>9.4499999999999993</v>
          </cell>
          <cell r="N2">
            <v>0.3</v>
          </cell>
          <cell r="O2">
            <v>2.1365590400000003</v>
          </cell>
          <cell r="P2">
            <v>1046.0171955200001</v>
          </cell>
          <cell r="Q2">
            <v>1234.3002907136001</v>
          </cell>
        </row>
        <row r="3">
          <cell r="F3" t="str">
            <v>B0CDPP45BM</v>
          </cell>
          <cell r="G3" t="str">
            <v>SC-01</v>
          </cell>
          <cell r="H3" t="str">
            <v>Home &amp; Kitchen</v>
          </cell>
          <cell r="I3" t="str">
            <v>Cleaning &amp; Vacumming</v>
          </cell>
          <cell r="J3" t="str">
            <v>Nexlev Steam Cleaner</v>
          </cell>
          <cell r="K3">
            <v>85098000</v>
          </cell>
          <cell r="L3">
            <v>13.5</v>
          </cell>
          <cell r="M3">
            <v>13.4</v>
          </cell>
          <cell r="N3">
            <v>0.4</v>
          </cell>
          <cell r="O3">
            <v>3.0494911764705885</v>
          </cell>
          <cell r="P3">
            <v>1491.5552235294117</v>
          </cell>
          <cell r="Q3">
            <v>1760.0351637647057</v>
          </cell>
        </row>
        <row r="4">
          <cell r="F4" t="str">
            <v>B0CDQ98FDM</v>
          </cell>
          <cell r="G4" t="str">
            <v>NP-01</v>
          </cell>
          <cell r="H4" t="str">
            <v>Sports, Fitness &amp; Outdoors</v>
          </cell>
          <cell r="I4" t="str">
            <v>Travel Accessories</v>
          </cell>
          <cell r="J4" t="str">
            <v>Neck Pillow with Memory Foam and Striped Texture</v>
          </cell>
          <cell r="K4">
            <v>94043090</v>
          </cell>
          <cell r="L4">
            <v>2.95</v>
          </cell>
          <cell r="M4">
            <v>0</v>
          </cell>
          <cell r="N4">
            <v>0.1</v>
          </cell>
          <cell r="O4">
            <v>0.85156163529411777</v>
          </cell>
          <cell r="P4">
            <v>343.33742390588236</v>
          </cell>
          <cell r="Q4">
            <v>405.13816020894114</v>
          </cell>
        </row>
        <row r="5">
          <cell r="F5" t="str">
            <v>B0CDQ55W2M</v>
          </cell>
          <cell r="G5" t="str">
            <v>NP-02</v>
          </cell>
          <cell r="H5" t="str">
            <v>Sports, Fitness &amp; Outdoors</v>
          </cell>
          <cell r="I5" t="str">
            <v>Travel Accessories</v>
          </cell>
          <cell r="J5" t="str">
            <v>Neck Pillow with Memory Foam (Dark Grey)</v>
          </cell>
          <cell r="K5">
            <v>94043090</v>
          </cell>
          <cell r="L5">
            <v>2.95</v>
          </cell>
          <cell r="M5">
            <v>0</v>
          </cell>
          <cell r="N5">
            <v>0.1</v>
          </cell>
          <cell r="O5">
            <v>0.85156163529411777</v>
          </cell>
          <cell r="P5">
            <v>343.33742390588236</v>
          </cell>
          <cell r="Q5">
            <v>405.13816020894114</v>
          </cell>
        </row>
        <row r="6">
          <cell r="F6" t="str">
            <v>B0CDQ6G4TC</v>
          </cell>
          <cell r="G6" t="str">
            <v>NP-03</v>
          </cell>
          <cell r="H6" t="str">
            <v>Sports, Fitness &amp; Outdoors</v>
          </cell>
          <cell r="I6" t="str">
            <v>Travel Accessories</v>
          </cell>
          <cell r="J6" t="str">
            <v>Neck Pillow with Memory Foam ( Grey)</v>
          </cell>
          <cell r="K6">
            <v>94043090</v>
          </cell>
          <cell r="L6">
            <v>2.95</v>
          </cell>
          <cell r="M6">
            <v>0</v>
          </cell>
          <cell r="N6">
            <v>0.1</v>
          </cell>
          <cell r="O6">
            <v>0.85156163529411777</v>
          </cell>
          <cell r="P6">
            <v>343.33742390588236</v>
          </cell>
          <cell r="Q6">
            <v>405.13816020894114</v>
          </cell>
        </row>
        <row r="7">
          <cell r="F7" t="str">
            <v>B0CW1JJP9S</v>
          </cell>
          <cell r="G7" t="str">
            <v>DF-01-BK</v>
          </cell>
          <cell r="H7" t="str">
            <v>HPC</v>
          </cell>
          <cell r="I7" t="str">
            <v>Oral Care</v>
          </cell>
          <cell r="J7" t="str">
            <v>Nexlev Dental Flosser (Black)</v>
          </cell>
          <cell r="K7">
            <v>84244900</v>
          </cell>
          <cell r="L7">
            <v>9.17</v>
          </cell>
          <cell r="M7">
            <v>0</v>
          </cell>
          <cell r="N7">
            <v>0.18340000000000001</v>
          </cell>
          <cell r="O7">
            <v>0.77165549999999994</v>
          </cell>
          <cell r="P7">
            <v>891.00488400000006</v>
          </cell>
          <cell r="Q7">
            <v>1051.3857631200001</v>
          </cell>
        </row>
        <row r="8">
          <cell r="F8" t="str">
            <v>B0CQX9ZZMH</v>
          </cell>
          <cell r="G8" t="str">
            <v>GS-04</v>
          </cell>
          <cell r="H8" t="str">
            <v>Home &amp; Kitchen</v>
          </cell>
          <cell r="I8" t="str">
            <v>Fabric Care</v>
          </cell>
          <cell r="J8" t="str">
            <v>Nexlev Garment Steamer with Touch Screen Breeze</v>
          </cell>
          <cell r="K8">
            <v>85167990</v>
          </cell>
          <cell r="L8">
            <v>11.38</v>
          </cell>
          <cell r="M8">
            <v>0</v>
          </cell>
          <cell r="N8">
            <v>0.22760000000000002</v>
          </cell>
          <cell r="O8">
            <v>2.5611590400000006</v>
          </cell>
          <cell r="P8">
            <v>1246.85079552</v>
          </cell>
          <cell r="Q8">
            <v>1471.2839387136</v>
          </cell>
        </row>
        <row r="9">
          <cell r="F9" t="str">
            <v>B0CS69T7HF</v>
          </cell>
          <cell r="G9" t="str">
            <v>ET-01-BK</v>
          </cell>
          <cell r="H9" t="str">
            <v>HPC</v>
          </cell>
          <cell r="I9" t="str">
            <v>Oral Care</v>
          </cell>
          <cell r="J9" t="str">
            <v>Electric Toothbrush - Black - Humm</v>
          </cell>
          <cell r="K9">
            <v>85098000</v>
          </cell>
          <cell r="L9">
            <v>2.15</v>
          </cell>
          <cell r="M9">
            <v>2.15</v>
          </cell>
          <cell r="N9">
            <v>4.2999999999999997E-2</v>
          </cell>
          <cell r="O9">
            <v>0.48246000000000006</v>
          </cell>
          <cell r="P9">
            <v>235.44048000000001</v>
          </cell>
          <cell r="Q9">
            <v>277.81976639999999</v>
          </cell>
        </row>
        <row r="10">
          <cell r="F10" t="str">
            <v>B0CSG2JZ19</v>
          </cell>
          <cell r="G10" t="str">
            <v>ET-02-GN</v>
          </cell>
          <cell r="H10" t="str">
            <v>HPC</v>
          </cell>
          <cell r="I10" t="str">
            <v>Oral Care</v>
          </cell>
          <cell r="J10" t="str">
            <v>Electric Toothbrush - Green - Humm</v>
          </cell>
          <cell r="K10">
            <v>85098000</v>
          </cell>
          <cell r="L10">
            <v>2.15</v>
          </cell>
          <cell r="M10">
            <v>2.15</v>
          </cell>
          <cell r="N10">
            <v>4.2999999999999997E-2</v>
          </cell>
          <cell r="O10">
            <v>0.48246000000000006</v>
          </cell>
          <cell r="P10">
            <v>235.44048000000001</v>
          </cell>
          <cell r="Q10">
            <v>277.81976639999999</v>
          </cell>
        </row>
        <row r="11">
          <cell r="F11" t="str">
            <v>B0CYSMBCB8</v>
          </cell>
          <cell r="G11" t="str">
            <v>SC-02</v>
          </cell>
          <cell r="H11" t="str">
            <v>Home &amp; Kitchen</v>
          </cell>
          <cell r="I11" t="str">
            <v>Cleaning &amp; Vacumming</v>
          </cell>
          <cell r="J11" t="str">
            <v>Steam Cleaner-Shine</v>
          </cell>
          <cell r="K11">
            <v>85098000</v>
          </cell>
          <cell r="L11">
            <v>10.35</v>
          </cell>
          <cell r="M11">
            <v>10.3</v>
          </cell>
          <cell r="N11">
            <v>0.20699999999999999</v>
          </cell>
          <cell r="O11">
            <v>2.3225400000000005</v>
          </cell>
          <cell r="P11">
            <v>1133.3995199999999</v>
          </cell>
          <cell r="Q11">
            <v>1337.4114335999998</v>
          </cell>
        </row>
        <row r="12">
          <cell r="F12" t="str">
            <v>B0CYSLCRQS</v>
          </cell>
          <cell r="G12" t="str">
            <v>MR-01</v>
          </cell>
          <cell r="H12" t="str">
            <v>Home &amp; Kitchen</v>
          </cell>
          <cell r="I12" t="str">
            <v>Cleaning &amp; Vacumming</v>
          </cell>
          <cell r="J12" t="str">
            <v>Smart Care Mite Remover (Nexlev Dust Mite UV)</v>
          </cell>
          <cell r="K12">
            <v>85086000</v>
          </cell>
          <cell r="L12">
            <v>9.4</v>
          </cell>
          <cell r="M12">
            <v>0</v>
          </cell>
          <cell r="N12">
            <v>0.188</v>
          </cell>
          <cell r="O12">
            <v>1.0546800000000003</v>
          </cell>
          <cell r="P12">
            <v>936.55584000000022</v>
          </cell>
          <cell r="Q12">
            <v>1105.1358912000003</v>
          </cell>
        </row>
        <row r="13">
          <cell r="F13" t="str">
            <v>B0D2LHNS9B</v>
          </cell>
          <cell r="G13" t="str">
            <v>CR-01</v>
          </cell>
          <cell r="H13" t="str">
            <v>HPC</v>
          </cell>
          <cell r="I13" t="str">
            <v>Skin Care</v>
          </cell>
          <cell r="J13" t="str">
            <v>Smooth Sole Callus Remover</v>
          </cell>
          <cell r="K13">
            <v>82142090</v>
          </cell>
          <cell r="L13">
            <v>4.4800000000000004</v>
          </cell>
          <cell r="M13">
            <v>4.4800000000000004</v>
          </cell>
          <cell r="N13">
            <v>8.9600000000000013E-2</v>
          </cell>
          <cell r="O13">
            <v>0.5026560000000001</v>
          </cell>
          <cell r="P13">
            <v>446.35852800000004</v>
          </cell>
          <cell r="Q13">
            <v>526.70306303999996</v>
          </cell>
        </row>
        <row r="14">
          <cell r="F14" t="str">
            <v>B0D2LGR3GG</v>
          </cell>
          <cell r="G14" t="str">
            <v>T-01</v>
          </cell>
          <cell r="H14" t="str">
            <v>HPC</v>
          </cell>
          <cell r="I14" t="str">
            <v>Trimmers &amp; Body Groomers</v>
          </cell>
          <cell r="J14" t="str">
            <v>Velvet Vibe Multi-Trimmer</v>
          </cell>
          <cell r="K14">
            <v>85101000</v>
          </cell>
          <cell r="L14">
            <v>3.96</v>
          </cell>
          <cell r="M14">
            <v>3.96</v>
          </cell>
          <cell r="N14">
            <v>7.9200000000000007E-2</v>
          </cell>
          <cell r="O14">
            <v>0.88862400000000019</v>
          </cell>
          <cell r="P14">
            <v>433.64851200000004</v>
          </cell>
          <cell r="Q14">
            <v>511.70524416000001</v>
          </cell>
        </row>
        <row r="15">
          <cell r="F15" t="str">
            <v>B0D2LD6BYJ</v>
          </cell>
          <cell r="G15" t="str">
            <v>T-02</v>
          </cell>
          <cell r="H15" t="str">
            <v>HPC</v>
          </cell>
          <cell r="I15" t="str">
            <v>Trimmers &amp; Body Groomers</v>
          </cell>
          <cell r="J15" t="str">
            <v>Velvet Vibe Plus Multi-Trimmer</v>
          </cell>
          <cell r="K15">
            <v>85101000</v>
          </cell>
          <cell r="L15">
            <v>4.6500000000000004</v>
          </cell>
          <cell r="M15">
            <v>4.6500000000000004</v>
          </cell>
          <cell r="N15">
            <v>9.3000000000000013E-2</v>
          </cell>
          <cell r="O15">
            <v>1.0434600000000003</v>
          </cell>
          <cell r="P15">
            <v>509.20848000000007</v>
          </cell>
          <cell r="Q15">
            <v>600.86600640000006</v>
          </cell>
        </row>
        <row r="16">
          <cell r="F16" t="str">
            <v>B0D383WQPB</v>
          </cell>
          <cell r="G16" t="str">
            <v>GS-05</v>
          </cell>
          <cell r="H16" t="str">
            <v>Home &amp; Kitchen</v>
          </cell>
          <cell r="I16" t="str">
            <v>Fabric Care</v>
          </cell>
          <cell r="J16" t="str">
            <v>Nexlev Smart Care Travel Steamer - Nomad</v>
          </cell>
          <cell r="K16">
            <v>85167990</v>
          </cell>
          <cell r="L16">
            <v>7.5</v>
          </cell>
          <cell r="M16">
            <v>7.5</v>
          </cell>
          <cell r="N16">
            <v>0.15</v>
          </cell>
          <cell r="O16">
            <v>1.6830000000000003</v>
          </cell>
          <cell r="P16">
            <v>821.30399999999997</v>
          </cell>
          <cell r="Q16">
            <v>969.13871999999992</v>
          </cell>
        </row>
        <row r="17">
          <cell r="F17" t="str">
            <v>B0D83Q7L8W</v>
          </cell>
          <cell r="G17" t="str">
            <v>V-01</v>
          </cell>
          <cell r="H17" t="str">
            <v>HPC</v>
          </cell>
          <cell r="I17" t="str">
            <v>Hair Care</v>
          </cell>
          <cell r="J17" t="str">
            <v>Nexlev Volumizer</v>
          </cell>
          <cell r="K17">
            <v>85163100</v>
          </cell>
          <cell r="L17">
            <v>5.5</v>
          </cell>
          <cell r="M17">
            <v>0</v>
          </cell>
          <cell r="N17">
            <v>0.11</v>
          </cell>
          <cell r="O17">
            <v>1.2342000000000002</v>
          </cell>
          <cell r="P17">
            <v>602.28960000000006</v>
          </cell>
          <cell r="Q17">
            <v>710.701728</v>
          </cell>
        </row>
        <row r="18">
          <cell r="F18" t="str">
            <v>B0DQ8W1RBV</v>
          </cell>
          <cell r="G18" t="str">
            <v>V-01 Rose Gold</v>
          </cell>
          <cell r="H18" t="str">
            <v>HPC</v>
          </cell>
          <cell r="I18" t="str">
            <v>Hair Care</v>
          </cell>
          <cell r="J18" t="str">
            <v>Nexlev Volumizer</v>
          </cell>
          <cell r="K18">
            <v>85163100</v>
          </cell>
          <cell r="L18">
            <v>5</v>
          </cell>
          <cell r="M18">
            <v>0</v>
          </cell>
          <cell r="N18">
            <v>0.1</v>
          </cell>
          <cell r="O18">
            <v>1.1220000000000001</v>
          </cell>
          <cell r="P18">
            <v>547.53599999999994</v>
          </cell>
          <cell r="Q18">
            <v>646.09247999999991</v>
          </cell>
        </row>
        <row r="19">
          <cell r="F19" t="str">
            <v>B0D2LFMY48</v>
          </cell>
          <cell r="G19" t="str">
            <v>HS-01</v>
          </cell>
          <cell r="H19" t="str">
            <v>HPC</v>
          </cell>
          <cell r="I19" t="str">
            <v>Hair Care</v>
          </cell>
          <cell r="J19" t="str">
            <v>Hair Straightner - Black</v>
          </cell>
          <cell r="K19">
            <v>85163200</v>
          </cell>
          <cell r="L19">
            <v>2.87</v>
          </cell>
          <cell r="M19">
            <v>0</v>
          </cell>
          <cell r="N19">
            <v>5.7400000000000007E-2</v>
          </cell>
          <cell r="O19">
            <v>0.64402800000000004</v>
          </cell>
          <cell r="P19">
            <v>314.285664</v>
          </cell>
          <cell r="Q19">
            <v>370.85708352</v>
          </cell>
        </row>
        <row r="20">
          <cell r="F20" t="str">
            <v>B0D2LKB4BJ</v>
          </cell>
          <cell r="G20" t="str">
            <v>HS-02</v>
          </cell>
          <cell r="H20" t="str">
            <v>Home &amp; Kitchen</v>
          </cell>
          <cell r="I20" t="str">
            <v>Fabric Care</v>
          </cell>
          <cell r="J20" t="str">
            <v>Hair Straightner - Purple</v>
          </cell>
          <cell r="K20">
            <v>85163200</v>
          </cell>
          <cell r="L20">
            <v>2.96</v>
          </cell>
          <cell r="M20">
            <v>0</v>
          </cell>
          <cell r="N20">
            <v>5.9200000000000003E-2</v>
          </cell>
          <cell r="O20">
            <v>0.66422400000000015</v>
          </cell>
          <cell r="P20">
            <v>324.14131200000003</v>
          </cell>
          <cell r="Q20">
            <v>382.48674815999999</v>
          </cell>
        </row>
        <row r="21">
          <cell r="F21" t="str">
            <v>B0D86ZC9YT</v>
          </cell>
          <cell r="G21" t="str">
            <v>HD-01</v>
          </cell>
          <cell r="H21" t="str">
            <v>Hair Care</v>
          </cell>
          <cell r="J21" t="str">
            <v>Hair Dryer</v>
          </cell>
          <cell r="K21">
            <v>85163100</v>
          </cell>
          <cell r="L21">
            <v>5.8500000000000005</v>
          </cell>
          <cell r="M21">
            <v>5.85</v>
          </cell>
          <cell r="N21">
            <v>0.11700000000000001</v>
          </cell>
          <cell r="O21">
            <v>1.3127400000000002</v>
          </cell>
          <cell r="P21">
            <v>640.61712</v>
          </cell>
          <cell r="Q21">
            <v>755.92820159999997</v>
          </cell>
        </row>
        <row r="22">
          <cell r="F22" t="str">
            <v>B0D81DLSFT</v>
          </cell>
          <cell r="G22" t="str">
            <v>HD-02</v>
          </cell>
          <cell r="H22" t="str">
            <v>Hair Care</v>
          </cell>
          <cell r="J22" t="str">
            <v>Hair Dryer-Ionic</v>
          </cell>
          <cell r="K22">
            <v>85163100</v>
          </cell>
          <cell r="L22">
            <v>3.39</v>
          </cell>
          <cell r="M22">
            <v>3.39</v>
          </cell>
          <cell r="N22">
            <v>6.7799999999999999E-2</v>
          </cell>
          <cell r="O22">
            <v>0.76071600000000017</v>
          </cell>
          <cell r="P22">
            <v>371.22940800000003</v>
          </cell>
          <cell r="Q22">
            <v>438.05070144000001</v>
          </cell>
        </row>
        <row r="23">
          <cell r="F23" t="str">
            <v>B0D2LJSQXZ</v>
          </cell>
          <cell r="G23" t="str">
            <v>SM-01</v>
          </cell>
          <cell r="H23" t="str">
            <v>Home &amp; Kitchen</v>
          </cell>
          <cell r="I23" t="str">
            <v>Cleaning &amp; Vacumming</v>
          </cell>
          <cell r="J23" t="str">
            <v>Steam Mop</v>
          </cell>
          <cell r="K23">
            <v>85098000</v>
          </cell>
          <cell r="L23">
            <v>17.5</v>
          </cell>
          <cell r="M23">
            <v>0</v>
          </cell>
          <cell r="N23">
            <v>0.35000000000000003</v>
          </cell>
          <cell r="O23">
            <v>3.9270000000000009</v>
          </cell>
          <cell r="P23">
            <v>1916.3760000000002</v>
          </cell>
          <cell r="Q23">
            <v>2261.32368</v>
          </cell>
        </row>
        <row r="24">
          <cell r="F24" t="str">
            <v>B0D672NXC8</v>
          </cell>
          <cell r="G24" t="str">
            <v>SC-03</v>
          </cell>
          <cell r="H24" t="str">
            <v>Home &amp; Kitchen</v>
          </cell>
          <cell r="I24" t="str">
            <v>Cleaning &amp; Vacumming</v>
          </cell>
          <cell r="J24" t="str">
            <v>Steam Cleaner-Heavy Duty</v>
          </cell>
          <cell r="K24">
            <v>85167990</v>
          </cell>
          <cell r="L24">
            <v>29.5</v>
          </cell>
          <cell r="M24">
            <v>29.5</v>
          </cell>
          <cell r="N24">
            <v>0.59</v>
          </cell>
          <cell r="O24">
            <v>6.6198000000000006</v>
          </cell>
          <cell r="P24">
            <v>3230.4624000000003</v>
          </cell>
          <cell r="Q24">
            <v>3811.9456320000004</v>
          </cell>
        </row>
        <row r="25">
          <cell r="F25" t="str">
            <v>B0D8445KJN</v>
          </cell>
          <cell r="G25" t="str">
            <v>LR-01</v>
          </cell>
          <cell r="H25" t="str">
            <v>Home &amp; Kitchen</v>
          </cell>
          <cell r="I25" t="str">
            <v>Fabric Care</v>
          </cell>
          <cell r="J25" t="str">
            <v>Nexlev Lint Remover - Mini</v>
          </cell>
          <cell r="K25">
            <v>85167990</v>
          </cell>
          <cell r="L25">
            <v>3.4</v>
          </cell>
          <cell r="M25">
            <v>0</v>
          </cell>
          <cell r="N25">
            <v>6.8000000000000005E-2</v>
          </cell>
          <cell r="O25">
            <v>0.76296000000000008</v>
          </cell>
          <cell r="P25">
            <v>372.32447999999999</v>
          </cell>
          <cell r="Q25">
            <v>439.3428864</v>
          </cell>
        </row>
        <row r="26">
          <cell r="F26" t="str">
            <v>B0D845B2DG</v>
          </cell>
          <cell r="G26" t="str">
            <v>LR-02</v>
          </cell>
          <cell r="H26" t="str">
            <v>Home &amp; Kitchen</v>
          </cell>
          <cell r="I26" t="str">
            <v>Fabric Care</v>
          </cell>
          <cell r="J26" t="str">
            <v>Nexlev Lint Remover</v>
          </cell>
          <cell r="K26">
            <v>85167990</v>
          </cell>
          <cell r="L26">
            <v>6.8</v>
          </cell>
          <cell r="M26">
            <v>6.8</v>
          </cell>
          <cell r="N26">
            <v>0.13600000000000001</v>
          </cell>
          <cell r="O26">
            <v>1.5259200000000002</v>
          </cell>
          <cell r="P26">
            <v>744.64895999999999</v>
          </cell>
          <cell r="Q26">
            <v>878.6857728</v>
          </cell>
        </row>
        <row r="27">
          <cell r="F27" t="str">
            <v>B0D63FKYZ5</v>
          </cell>
          <cell r="G27" t="str">
            <v>HM-01</v>
          </cell>
          <cell r="H27" t="str">
            <v>HPC</v>
          </cell>
          <cell r="I27" t="str">
            <v>Hair Care</v>
          </cell>
          <cell r="J27" t="str">
            <v>Scalp Massager</v>
          </cell>
          <cell r="K27">
            <v>90191020</v>
          </cell>
          <cell r="L27">
            <v>4.5</v>
          </cell>
          <cell r="M27">
            <v>4.0999999999999996</v>
          </cell>
          <cell r="N27">
            <v>0.09</v>
          </cell>
          <cell r="O27">
            <v>0.50490000000000002</v>
          </cell>
          <cell r="P27">
            <v>448.35120000000001</v>
          </cell>
          <cell r="Q27">
            <v>529.05441599999995</v>
          </cell>
        </row>
        <row r="28">
          <cell r="F28" t="str">
            <v>B0D63DTKQB</v>
          </cell>
          <cell r="G28" t="str">
            <v>HM-02</v>
          </cell>
          <cell r="H28" t="str">
            <v>HPC</v>
          </cell>
          <cell r="I28" t="str">
            <v>Hair Care</v>
          </cell>
          <cell r="J28" t="str">
            <v>Scalp Massager Pro</v>
          </cell>
          <cell r="K28">
            <v>90191020</v>
          </cell>
          <cell r="L28">
            <v>6</v>
          </cell>
          <cell r="M28">
            <v>6</v>
          </cell>
          <cell r="N28">
            <v>0.12</v>
          </cell>
          <cell r="O28">
            <v>0.67320000000000013</v>
          </cell>
          <cell r="P28">
            <v>597.80160000000001</v>
          </cell>
          <cell r="Q28">
            <v>705.405888</v>
          </cell>
        </row>
        <row r="29">
          <cell r="F29" t="str">
            <v>B0D25LNDSY</v>
          </cell>
          <cell r="G29" t="str">
            <v>ETC-04-WH</v>
          </cell>
          <cell r="H29" t="str">
            <v>HPC</v>
          </cell>
          <cell r="I29" t="str">
            <v>Oral Care</v>
          </cell>
          <cell r="J29" t="str">
            <v>Electric Toothbrush - C Type - White-Sparkle Pro</v>
          </cell>
          <cell r="K29">
            <v>85098000</v>
          </cell>
          <cell r="L29">
            <v>3.09</v>
          </cell>
          <cell r="M29">
            <v>3.15</v>
          </cell>
          <cell r="N29">
            <v>6.1800000000000001E-2</v>
          </cell>
          <cell r="O29">
            <v>0.69339600000000001</v>
          </cell>
          <cell r="P29">
            <v>338.37724799999995</v>
          </cell>
          <cell r="Q29">
            <v>399.28515263999992</v>
          </cell>
        </row>
        <row r="30">
          <cell r="F30" t="str">
            <v>B0D842173P</v>
          </cell>
          <cell r="G30" t="str">
            <v>ETC-05-PI</v>
          </cell>
          <cell r="H30" t="str">
            <v>HPC</v>
          </cell>
          <cell r="I30" t="str">
            <v>Oral Care</v>
          </cell>
          <cell r="J30" t="str">
            <v>Electric Toothbrush - C Type - Pink-Sparkle Pro</v>
          </cell>
          <cell r="K30">
            <v>85098000</v>
          </cell>
          <cell r="L30">
            <v>3.15</v>
          </cell>
          <cell r="M30">
            <v>3.15</v>
          </cell>
          <cell r="N30">
            <v>6.3E-2</v>
          </cell>
          <cell r="O30">
            <v>0.70686000000000015</v>
          </cell>
          <cell r="P30">
            <v>344.94768000000005</v>
          </cell>
          <cell r="Q30">
            <v>407.03826240000001</v>
          </cell>
        </row>
        <row r="31">
          <cell r="F31" t="str">
            <v>B0D9KDQCCM</v>
          </cell>
          <cell r="G31" t="str">
            <v>SW-01</v>
          </cell>
          <cell r="H31" t="str">
            <v>Home &amp; Kitchen</v>
          </cell>
          <cell r="I31" t="str">
            <v>Fabric Care</v>
          </cell>
          <cell r="J31" t="str">
            <v>Portable Sewing Machine</v>
          </cell>
          <cell r="K31">
            <v>84521021</v>
          </cell>
          <cell r="L31">
            <v>3.46</v>
          </cell>
          <cell r="M31">
            <v>3.4</v>
          </cell>
          <cell r="N31">
            <v>6.9199999999999998E-2</v>
          </cell>
          <cell r="O31">
            <v>0.38821200000000006</v>
          </cell>
          <cell r="P31">
            <v>344.73225600000001</v>
          </cell>
          <cell r="Q31">
            <v>406.78406208000001</v>
          </cell>
        </row>
        <row r="32">
          <cell r="F32" t="str">
            <v>B0D67727VG</v>
          </cell>
          <cell r="G32" t="str">
            <v>EA-01</v>
          </cell>
          <cell r="H32" t="str">
            <v>HPC</v>
          </cell>
          <cell r="I32" t="str">
            <v>Hair Care</v>
          </cell>
          <cell r="J32" t="str">
            <v>Electric Oil Applicator</v>
          </cell>
          <cell r="K32">
            <v>90191020</v>
          </cell>
          <cell r="L32">
            <v>6</v>
          </cell>
          <cell r="M32">
            <v>6</v>
          </cell>
          <cell r="N32">
            <v>0.12</v>
          </cell>
          <cell r="O32">
            <v>0.67320000000000013</v>
          </cell>
          <cell r="P32">
            <v>597.80160000000001</v>
          </cell>
          <cell r="Q32">
            <v>705.405888</v>
          </cell>
        </row>
        <row r="33">
          <cell r="F33" t="str">
            <v>B0D637B562</v>
          </cell>
          <cell r="G33" t="str">
            <v>WF-02-BL</v>
          </cell>
          <cell r="H33" t="str">
            <v>Pet Supplies</v>
          </cell>
          <cell r="I33" t="str">
            <v>Pet Supplies</v>
          </cell>
          <cell r="J33" t="str">
            <v>Nexlev Pet Water Fountain 2L</v>
          </cell>
          <cell r="K33">
            <v>84212190</v>
          </cell>
          <cell r="L33">
            <v>4.5</v>
          </cell>
          <cell r="M33">
            <v>4.7</v>
          </cell>
          <cell r="N33">
            <v>0.09</v>
          </cell>
          <cell r="O33">
            <v>0.37867499999999993</v>
          </cell>
          <cell r="P33">
            <v>437.24340000000001</v>
          </cell>
          <cell r="Q33">
            <v>515.94721200000004</v>
          </cell>
        </row>
        <row r="34">
          <cell r="F34" t="str">
            <v>B0D9KCNVNM</v>
          </cell>
          <cell r="G34" t="str">
            <v>ETR-06</v>
          </cell>
          <cell r="H34" t="str">
            <v>HPC</v>
          </cell>
          <cell r="I34" t="str">
            <v>Oral Care</v>
          </cell>
          <cell r="J34" t="str">
            <v>Oscillating Electric Toothbrush Sparkle Plus</v>
          </cell>
          <cell r="K34">
            <v>85098000</v>
          </cell>
          <cell r="L34">
            <v>5.16</v>
          </cell>
          <cell r="M34">
            <v>5.16</v>
          </cell>
          <cell r="N34">
            <v>0.1032</v>
          </cell>
          <cell r="O34">
            <v>1.1579040000000003</v>
          </cell>
          <cell r="P34">
            <v>565.05715200000009</v>
          </cell>
          <cell r="Q34">
            <v>666.76743936000003</v>
          </cell>
        </row>
        <row r="35">
          <cell r="F35" t="str">
            <v>B0D9KFZYG8</v>
          </cell>
          <cell r="G35" t="str">
            <v>FS-01</v>
          </cell>
          <cell r="H35" t="str">
            <v>HPC</v>
          </cell>
          <cell r="I35" t="str">
            <v>Skin Care</v>
          </cell>
          <cell r="J35" t="str">
            <v>Nexlev Face Steamer</v>
          </cell>
          <cell r="K35">
            <v>85437093</v>
          </cell>
          <cell r="L35">
            <v>6.65</v>
          </cell>
          <cell r="M35">
            <v>6.7</v>
          </cell>
          <cell r="N35">
            <v>0.13300000000000001</v>
          </cell>
          <cell r="O35">
            <v>1.4922600000000004</v>
          </cell>
          <cell r="P35">
            <v>728.22288000000015</v>
          </cell>
          <cell r="Q35">
            <v>859.30299840000009</v>
          </cell>
        </row>
        <row r="36">
          <cell r="F36" t="str">
            <v>B0D9KFP4MG</v>
          </cell>
          <cell r="G36" t="str">
            <v>HSB-03</v>
          </cell>
          <cell r="H36" t="str">
            <v>HPC</v>
          </cell>
          <cell r="I36" t="str">
            <v>Hair Care</v>
          </cell>
          <cell r="J36" t="str">
            <v>Nexlev Hair Straightener Brush</v>
          </cell>
          <cell r="K36">
            <v>85163200</v>
          </cell>
          <cell r="L36">
            <v>6.34</v>
          </cell>
          <cell r="M36">
            <v>6.64</v>
          </cell>
          <cell r="N36">
            <v>0.1268</v>
          </cell>
          <cell r="O36">
            <v>1.4226960000000002</v>
          </cell>
          <cell r="P36">
            <v>694.27564800000005</v>
          </cell>
          <cell r="Q36">
            <v>819.24526463999996</v>
          </cell>
        </row>
        <row r="37">
          <cell r="F37" t="str">
            <v>B0DCK3N2JJ</v>
          </cell>
          <cell r="G37" t="str">
            <v>HSB-04</v>
          </cell>
          <cell r="H37" t="str">
            <v>HPC</v>
          </cell>
          <cell r="I37" t="str">
            <v>Hair Care</v>
          </cell>
          <cell r="J37" t="str">
            <v>Nexlev Hair Straightener Brush - Portable</v>
          </cell>
          <cell r="K37">
            <v>85163200</v>
          </cell>
          <cell r="L37">
            <v>7.39</v>
          </cell>
          <cell r="M37">
            <v>0</v>
          </cell>
          <cell r="N37">
            <v>0.14779999999999999</v>
          </cell>
          <cell r="O37">
            <v>1.6583160000000001</v>
          </cell>
          <cell r="P37">
            <v>809.25820799999997</v>
          </cell>
          <cell r="Q37">
            <v>954.92468543999996</v>
          </cell>
        </row>
        <row r="38">
          <cell r="F38" t="str">
            <v>B0DCK7ZH5P</v>
          </cell>
          <cell r="G38" t="str">
            <v>MR-02</v>
          </cell>
          <cell r="H38" t="str">
            <v>Home &amp; Kitchen</v>
          </cell>
          <cell r="I38" t="str">
            <v>Cleaning &amp; Vacumming</v>
          </cell>
          <cell r="J38" t="str">
            <v>Nexlev Cordless Mite Remover</v>
          </cell>
          <cell r="K38">
            <v>85086000</v>
          </cell>
          <cell r="L38">
            <v>11.3</v>
          </cell>
          <cell r="M38">
            <v>11.3</v>
          </cell>
          <cell r="N38">
            <v>0.22600000000000001</v>
          </cell>
          <cell r="O38">
            <v>1.2678600000000004</v>
          </cell>
          <cell r="P38">
            <v>1125.8596800000003</v>
          </cell>
          <cell r="Q38">
            <v>1328.5144224000003</v>
          </cell>
        </row>
        <row r="39">
          <cell r="F39" t="str">
            <v>B0DCGHKRXX</v>
          </cell>
          <cell r="G39" t="str">
            <v>LE-02</v>
          </cell>
          <cell r="H39" t="str">
            <v>HPC</v>
          </cell>
          <cell r="I39" t="str">
            <v>Skin Care</v>
          </cell>
          <cell r="J39" t="str">
            <v>NEXLEV LED Light Therapy Comb</v>
          </cell>
          <cell r="K39">
            <v>85437093</v>
          </cell>
          <cell r="L39">
            <v>5.3</v>
          </cell>
          <cell r="M39">
            <v>6.8</v>
          </cell>
          <cell r="N39">
            <v>0.106</v>
          </cell>
          <cell r="O39">
            <v>0.59466000000000008</v>
          </cell>
          <cell r="P39">
            <v>528.05808000000002</v>
          </cell>
          <cell r="Q39">
            <v>623.10853439999994</v>
          </cell>
        </row>
        <row r="40">
          <cell r="F40" t="str">
            <v>B0D9KFQG8Q</v>
          </cell>
          <cell r="G40" t="str">
            <v>LE-03</v>
          </cell>
          <cell r="H40" t="str">
            <v>HPC</v>
          </cell>
          <cell r="I40" t="str">
            <v>Skin Care</v>
          </cell>
          <cell r="J40" t="str">
            <v>NEXLEV Light Therapy Skin Scrubber</v>
          </cell>
          <cell r="K40">
            <v>85437099</v>
          </cell>
          <cell r="L40">
            <v>8.6999999999999993</v>
          </cell>
          <cell r="M40">
            <v>9.4</v>
          </cell>
          <cell r="N40">
            <v>0.17399999999999999</v>
          </cell>
          <cell r="O40">
            <v>0.73210499999999978</v>
          </cell>
          <cell r="P40">
            <v>845.33723999999995</v>
          </cell>
          <cell r="Q40">
            <v>997.4979431999999</v>
          </cell>
        </row>
        <row r="41">
          <cell r="F41" t="str">
            <v>B0DCGHVN81</v>
          </cell>
          <cell r="G41" t="str">
            <v>FS-01</v>
          </cell>
          <cell r="H41" t="str">
            <v>Home &amp; Kitchen</v>
          </cell>
          <cell r="I41" t="str">
            <v>Cleaning &amp; Vacumming</v>
          </cell>
          <cell r="J41" t="str">
            <v>Nexlev Stick Vacuum Cleaner</v>
          </cell>
          <cell r="K41">
            <v>85086000</v>
          </cell>
          <cell r="L41">
            <v>8.3000000000000007</v>
          </cell>
          <cell r="M41">
            <v>8.6999999999999993</v>
          </cell>
          <cell r="N41">
            <v>0.16600000000000001</v>
          </cell>
          <cell r="O41">
            <v>0.9312600000000002</v>
          </cell>
          <cell r="P41">
            <v>826.95888000000014</v>
          </cell>
          <cell r="Q41">
            <v>975.81147840000006</v>
          </cell>
        </row>
        <row r="42">
          <cell r="F42" t="str">
            <v>B0DTK4FY1G</v>
          </cell>
          <cell r="G42" t="str">
            <v>SS-01</v>
          </cell>
          <cell r="H42" t="str">
            <v>Home &amp; Kitchen</v>
          </cell>
          <cell r="I42" t="str">
            <v>Cleaning &amp; Vacumming</v>
          </cell>
          <cell r="J42" t="str">
            <v>Nexlev Spin Scrubber</v>
          </cell>
          <cell r="K42">
            <v>85098000</v>
          </cell>
          <cell r="L42">
            <v>9.2899999999999991</v>
          </cell>
          <cell r="M42">
            <v>11.6</v>
          </cell>
          <cell r="N42">
            <v>0.18579999999999999</v>
          </cell>
          <cell r="O42">
            <v>2.084676</v>
          </cell>
          <cell r="P42">
            <v>1017.3218879999999</v>
          </cell>
          <cell r="Q42">
            <v>1200.4398278399999</v>
          </cell>
        </row>
        <row r="43">
          <cell r="F43" t="str">
            <v>B0DCK56Q85</v>
          </cell>
          <cell r="G43" t="str">
            <v>VC-02</v>
          </cell>
          <cell r="H43" t="str">
            <v>Home &amp; Kitchen</v>
          </cell>
          <cell r="I43" t="str">
            <v>Cleaning &amp; Vacumming</v>
          </cell>
          <cell r="J43" t="str">
            <v>Nexlev Portable vacuum cleaner - Duster Pro</v>
          </cell>
          <cell r="K43">
            <v>85086000</v>
          </cell>
          <cell r="L43">
            <v>10.76</v>
          </cell>
          <cell r="M43">
            <v>10.76</v>
          </cell>
          <cell r="N43">
            <v>0.2152</v>
          </cell>
          <cell r="O43">
            <v>2.4145440000000002</v>
          </cell>
          <cell r="P43">
            <v>1178.297472</v>
          </cell>
          <cell r="Q43">
            <v>1390.3910169599999</v>
          </cell>
        </row>
        <row r="44">
          <cell r="F44" t="str">
            <v>B0DFCDKMWR</v>
          </cell>
          <cell r="G44" t="str">
            <v>CM-01-BL</v>
          </cell>
          <cell r="H44" t="str">
            <v>HPC</v>
          </cell>
          <cell r="I44" t="str">
            <v>Electric Massagers</v>
          </cell>
          <cell r="J44" t="str">
            <v>Nexlev Cramp Massager Blue</v>
          </cell>
          <cell r="K44">
            <v>90191020</v>
          </cell>
          <cell r="L44">
            <v>4.7</v>
          </cell>
          <cell r="M44">
            <v>0</v>
          </cell>
          <cell r="N44">
            <v>9.4E-2</v>
          </cell>
          <cell r="O44">
            <v>0.52734000000000014</v>
          </cell>
          <cell r="P44">
            <v>468.27792000000011</v>
          </cell>
          <cell r="Q44">
            <v>524.47127040000021</v>
          </cell>
        </row>
        <row r="45">
          <cell r="F45" t="str">
            <v>B0DFCDZWND</v>
          </cell>
          <cell r="G45" t="str">
            <v>CM-02-PR</v>
          </cell>
          <cell r="H45" t="str">
            <v>HPC</v>
          </cell>
          <cell r="I45" t="str">
            <v>Electric Massagers</v>
          </cell>
          <cell r="J45" t="str">
            <v>Nexlev Cramp Massager Purple</v>
          </cell>
          <cell r="K45">
            <v>90191020</v>
          </cell>
          <cell r="L45">
            <v>4.7</v>
          </cell>
          <cell r="M45">
            <v>0</v>
          </cell>
          <cell r="N45">
            <v>9.4E-2</v>
          </cell>
          <cell r="O45">
            <v>0.52734000000000014</v>
          </cell>
          <cell r="P45">
            <v>468.27792000000011</v>
          </cell>
          <cell r="Q45">
            <v>524.47127040000021</v>
          </cell>
        </row>
        <row r="46">
          <cell r="F46" t="str">
            <v>B0DFM4JZV9</v>
          </cell>
          <cell r="G46" t="str">
            <v>TI-01</v>
          </cell>
          <cell r="H46" t="str">
            <v>Car &amp; Motorbike</v>
          </cell>
          <cell r="I46" t="str">
            <v>Car Accessories</v>
          </cell>
          <cell r="J46" t="str">
            <v>Corded Tyre Inflator With Touch Control and Carry Pouch</v>
          </cell>
          <cell r="K46">
            <v>84148090</v>
          </cell>
          <cell r="L46">
            <v>10.7</v>
          </cell>
          <cell r="M46">
            <v>10.7</v>
          </cell>
          <cell r="N46">
            <v>0.214</v>
          </cell>
          <cell r="O46">
            <v>0.9004049999999999</v>
          </cell>
          <cell r="P46">
            <v>1039.6676399999999</v>
          </cell>
          <cell r="Q46">
            <v>1226.8078151999998</v>
          </cell>
        </row>
        <row r="47">
          <cell r="F47" t="str">
            <v>B0DK9LYT4P</v>
          </cell>
          <cell r="G47" t="str">
            <v>TM-01</v>
          </cell>
          <cell r="H47" t="str">
            <v>HPC</v>
          </cell>
          <cell r="I47" t="str">
            <v>Trimmers &amp; Body Groomers</v>
          </cell>
          <cell r="J47" t="str">
            <v>Beard Boss Men Beard Trimmer</v>
          </cell>
          <cell r="K47">
            <v>85101000</v>
          </cell>
          <cell r="L47">
            <v>3.7</v>
          </cell>
          <cell r="M47">
            <v>3.7</v>
          </cell>
          <cell r="N47">
            <v>7.400000000000001E-2</v>
          </cell>
          <cell r="O47">
            <v>0.83028000000000013</v>
          </cell>
          <cell r="P47">
            <v>405.17664000000002</v>
          </cell>
          <cell r="Q47">
            <v>478.10843519999997</v>
          </cell>
        </row>
        <row r="48">
          <cell r="F48" t="str">
            <v>B0DTYDTKN8</v>
          </cell>
          <cell r="G48" t="str">
            <v>SPM-01</v>
          </cell>
          <cell r="H48" t="str">
            <v>Cleaning &amp; Vacumming</v>
          </cell>
          <cell r="J48" t="str">
            <v>Nexlev Spin Mop</v>
          </cell>
          <cell r="K48">
            <v>85098000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</row>
        <row r="49">
          <cell r="F49" t="str">
            <v>B0DCK4DR1B</v>
          </cell>
          <cell r="G49" t="str">
            <v>LE-04</v>
          </cell>
          <cell r="H49" t="str">
            <v>HPC</v>
          </cell>
          <cell r="I49" t="str">
            <v>Skin Care</v>
          </cell>
          <cell r="J49" t="str">
            <v>Nexlev Skin Lift Device</v>
          </cell>
          <cell r="K49">
            <v>85437093</v>
          </cell>
          <cell r="L49">
            <v>5</v>
          </cell>
          <cell r="M49">
            <v>5</v>
          </cell>
          <cell r="N49">
            <v>0.1</v>
          </cell>
          <cell r="O49">
            <v>0.56100000000000005</v>
          </cell>
          <cell r="P49">
            <v>498.16799999999995</v>
          </cell>
          <cell r="Q49">
            <v>587.83823999999993</v>
          </cell>
        </row>
        <row r="50">
          <cell r="F50" t="str">
            <v>B0DJFH6RTL</v>
          </cell>
          <cell r="G50" t="str">
            <v>TI-02</v>
          </cell>
          <cell r="H50" t="str">
            <v>Car &amp; Motorbike</v>
          </cell>
          <cell r="I50" t="str">
            <v>Car Accessories</v>
          </cell>
          <cell r="J50" t="str">
            <v>Nexlev Corded Tyre Inflator</v>
          </cell>
          <cell r="K50">
            <v>84148090</v>
          </cell>
          <cell r="L50">
            <v>7</v>
          </cell>
          <cell r="M50">
            <v>7.4</v>
          </cell>
          <cell r="N50">
            <v>0.14000000000000001</v>
          </cell>
          <cell r="O50">
            <v>0.58904999999999985</v>
          </cell>
          <cell r="P50">
            <v>680.15639999999996</v>
          </cell>
          <cell r="Q50">
            <v>802.58455199999992</v>
          </cell>
        </row>
        <row r="51">
          <cell r="F51" t="str">
            <v>B0DJFH4K8B</v>
          </cell>
          <cell r="G51" t="str">
            <v>TIC-03</v>
          </cell>
          <cell r="H51" t="str">
            <v>Car &amp; Motorbike</v>
          </cell>
          <cell r="I51" t="str">
            <v>Car Accessories</v>
          </cell>
          <cell r="J51" t="str">
            <v>Nexlev Cordeless Tyre Inflator 4000mAh</v>
          </cell>
          <cell r="K51">
            <v>84148090</v>
          </cell>
          <cell r="L51">
            <v>7</v>
          </cell>
          <cell r="M51">
            <v>7</v>
          </cell>
          <cell r="N51">
            <v>0.14000000000000001</v>
          </cell>
          <cell r="O51">
            <v>0.58904999999999985</v>
          </cell>
          <cell r="P51">
            <v>680.15639999999996</v>
          </cell>
          <cell r="Q51">
            <v>802.58455199999992</v>
          </cell>
        </row>
        <row r="52">
          <cell r="F52" t="str">
            <v>B0DJFJZMC6</v>
          </cell>
          <cell r="G52" t="str">
            <v>TIC-04</v>
          </cell>
          <cell r="H52" t="str">
            <v>Car &amp; Motorbike</v>
          </cell>
          <cell r="I52" t="str">
            <v>Car Accessories</v>
          </cell>
          <cell r="J52" t="str">
            <v>Nexlev Cordeless Tyre Inflator 6000mAh</v>
          </cell>
          <cell r="K52">
            <v>84148090</v>
          </cell>
          <cell r="L52">
            <v>9.42</v>
          </cell>
          <cell r="M52">
            <v>12</v>
          </cell>
          <cell r="N52">
            <v>0.18840000000000001</v>
          </cell>
          <cell r="O52">
            <v>0.79269299999999987</v>
          </cell>
          <cell r="P52">
            <v>915.29618399999993</v>
          </cell>
          <cell r="Q52">
            <v>1080.0494971199998</v>
          </cell>
        </row>
        <row r="53">
          <cell r="F53" t="str">
            <v>B0DDC3GVZW</v>
          </cell>
          <cell r="G53" t="str">
            <v>VC-03</v>
          </cell>
          <cell r="H53" t="str">
            <v>Home &amp; Kitchen</v>
          </cell>
          <cell r="I53" t="str">
            <v>Cleaning &amp; Vacumming</v>
          </cell>
          <cell r="J53" t="str">
            <v>Nexlev Car Vacuum Cleaner with safety feature</v>
          </cell>
          <cell r="K53">
            <v>85086000</v>
          </cell>
          <cell r="L53">
            <v>6.73</v>
          </cell>
          <cell r="M53">
            <v>6.73</v>
          </cell>
          <cell r="N53">
            <v>0.13460000000000003</v>
          </cell>
          <cell r="O53">
            <v>1.5102120000000003</v>
          </cell>
          <cell r="P53">
            <v>736.98345600000005</v>
          </cell>
          <cell r="Q53">
            <v>869.64047807999998</v>
          </cell>
        </row>
        <row r="54">
          <cell r="F54" t="str">
            <v>B0DFMRG2K4</v>
          </cell>
          <cell r="G54" t="str">
            <v>TM-02</v>
          </cell>
          <cell r="H54" t="str">
            <v>HPC</v>
          </cell>
          <cell r="I54" t="str">
            <v>Trimmers &amp; Body Groomers</v>
          </cell>
          <cell r="J54" t="str">
            <v>NexLev Multi-Trimmer for Men</v>
          </cell>
          <cell r="K54">
            <v>85101000</v>
          </cell>
          <cell r="L54">
            <v>10</v>
          </cell>
          <cell r="M54">
            <v>10</v>
          </cell>
          <cell r="N54">
            <v>0.2</v>
          </cell>
          <cell r="O54">
            <v>2.2440000000000002</v>
          </cell>
          <cell r="P54">
            <v>1095.0719999999999</v>
          </cell>
          <cell r="Q54">
            <v>1292.1849599999998</v>
          </cell>
        </row>
        <row r="55">
          <cell r="F55" t="str">
            <v>B0DNJF1BLS</v>
          </cell>
          <cell r="G55" t="str">
            <v>CF-01</v>
          </cell>
          <cell r="H55" t="str">
            <v>Kitchen Appliances</v>
          </cell>
          <cell r="I55" t="str">
            <v>Home &amp; Kitchen Appliances</v>
          </cell>
          <cell r="J55" t="str">
            <v>Nexlev Drip Coffee Maker</v>
          </cell>
          <cell r="K55">
            <v>85167100</v>
          </cell>
          <cell r="L55">
            <v>5.2</v>
          </cell>
          <cell r="M55">
            <v>5.2</v>
          </cell>
          <cell r="N55">
            <v>0.10400000000000001</v>
          </cell>
          <cell r="O55">
            <v>1.1668800000000001</v>
          </cell>
          <cell r="P55">
            <v>569.43744000000004</v>
          </cell>
          <cell r="Q55">
            <v>671.93617919999997</v>
          </cell>
        </row>
        <row r="56">
          <cell r="F56" t="str">
            <v>B0DK9NRBWJ</v>
          </cell>
          <cell r="G56" t="str">
            <v>TM-03</v>
          </cell>
          <cell r="H56" t="str">
            <v>HPC</v>
          </cell>
          <cell r="J56" t="str">
            <v>Nexlev Intimate Body Trimmer With Charging Base, Display and Light</v>
          </cell>
          <cell r="K56">
            <v>85101000</v>
          </cell>
          <cell r="L56">
            <v>4.55</v>
          </cell>
          <cell r="M56">
            <v>4.55</v>
          </cell>
          <cell r="N56">
            <v>9.0999999999999998E-2</v>
          </cell>
          <cell r="O56">
            <v>1.02102</v>
          </cell>
          <cell r="P56">
            <v>498.25776000000002</v>
          </cell>
          <cell r="Q56">
            <v>587.94415679999997</v>
          </cell>
        </row>
        <row r="57">
          <cell r="F57" t="str">
            <v>B0DK9QNKK8</v>
          </cell>
          <cell r="G57" t="str">
            <v>TM-04</v>
          </cell>
          <cell r="H57" t="str">
            <v>HPC</v>
          </cell>
          <cell r="J57" t="str">
            <v>Nexlev Intimate Body Trimmer and Nose Trimmer</v>
          </cell>
          <cell r="K57">
            <v>85101000</v>
          </cell>
          <cell r="L57">
            <v>3.52</v>
          </cell>
          <cell r="M57">
            <v>3.52</v>
          </cell>
          <cell r="N57">
            <v>7.0400000000000004E-2</v>
          </cell>
          <cell r="O57">
            <v>0.78988800000000003</v>
          </cell>
          <cell r="P57">
            <v>385.46534400000002</v>
          </cell>
          <cell r="Q57">
            <v>454.84910592</v>
          </cell>
        </row>
        <row r="58">
          <cell r="F58" t="str">
            <v>B0DFCG2VGS</v>
          </cell>
          <cell r="G58" t="str">
            <v>KE-01</v>
          </cell>
          <cell r="H58" t="str">
            <v>Home &amp; Kitchen</v>
          </cell>
          <cell r="I58" t="str">
            <v>Kitchen Appliances</v>
          </cell>
          <cell r="J58" t="str">
            <v>Nexlev Multi-Purpose Food Kettle 1.8L</v>
          </cell>
          <cell r="K58">
            <v>85167990</v>
          </cell>
          <cell r="L58">
            <v>7.25</v>
          </cell>
          <cell r="M58">
            <v>7.25</v>
          </cell>
          <cell r="N58">
            <v>0.14499999999999999</v>
          </cell>
          <cell r="O58">
            <v>1.6269</v>
          </cell>
          <cell r="P58">
            <v>793.92719999999986</v>
          </cell>
          <cell r="Q58">
            <v>936.83409599999982</v>
          </cell>
        </row>
        <row r="59">
          <cell r="F59" t="str">
            <v>B0DFD123P5</v>
          </cell>
          <cell r="G59" t="str">
            <v>KE-02</v>
          </cell>
          <cell r="H59" t="str">
            <v>Home &amp; Kitchen</v>
          </cell>
          <cell r="I59" t="str">
            <v>Kitchen Appliances</v>
          </cell>
          <cell r="J59" t="str">
            <v>Nexlev Multi-Purpose Food Kettle 1.5L</v>
          </cell>
          <cell r="K59">
            <v>85167990</v>
          </cell>
          <cell r="L59">
            <v>7.25</v>
          </cell>
          <cell r="M59">
            <v>7.25</v>
          </cell>
          <cell r="N59">
            <v>0.14499999999999999</v>
          </cell>
          <cell r="O59">
            <v>1.6269</v>
          </cell>
          <cell r="P59">
            <v>793.92719999999986</v>
          </cell>
          <cell r="Q59">
            <v>936.83409599999982</v>
          </cell>
        </row>
        <row r="60">
          <cell r="F60" t="str">
            <v>B0DT6Y7KJM</v>
          </cell>
          <cell r="G60" t="str">
            <v>V-02</v>
          </cell>
          <cell r="H60" t="str">
            <v>HPC</v>
          </cell>
          <cell r="I60" t="str">
            <v>Hair Care</v>
          </cell>
          <cell r="J60" t="str">
            <v>Nexlev Volumizer Straightener</v>
          </cell>
          <cell r="K60">
            <v>85163100</v>
          </cell>
          <cell r="L60">
            <v>8.32</v>
          </cell>
          <cell r="M60">
            <v>8.32</v>
          </cell>
          <cell r="N60">
            <v>0.16640000000000002</v>
          </cell>
          <cell r="O60">
            <v>1.8670080000000002</v>
          </cell>
          <cell r="P60">
            <v>911.09990400000004</v>
          </cell>
          <cell r="Q60">
            <v>1075.0978867199999</v>
          </cell>
        </row>
        <row r="61">
          <cell r="F61" t="str">
            <v>B0DQCWRG3H</v>
          </cell>
          <cell r="G61" t="str">
            <v>V-03</v>
          </cell>
          <cell r="H61" t="str">
            <v>HPC</v>
          </cell>
          <cell r="I61" t="str">
            <v>Hair Care</v>
          </cell>
          <cell r="J61" t="str">
            <v>Nexlev Volumizer Dryer</v>
          </cell>
          <cell r="K61">
            <v>85163100</v>
          </cell>
          <cell r="L61">
            <v>6.47</v>
          </cell>
          <cell r="M61">
            <v>6.47</v>
          </cell>
          <cell r="N61">
            <v>0.12939999999999999</v>
          </cell>
          <cell r="O61">
            <v>1.4518680000000002</v>
          </cell>
          <cell r="P61">
            <v>708.51158400000008</v>
          </cell>
          <cell r="Q61">
            <v>836.04366912</v>
          </cell>
        </row>
        <row r="62">
          <cell r="F62" t="str">
            <v>B0DNJS23HS</v>
          </cell>
          <cell r="G62" t="str">
            <v>SC-04</v>
          </cell>
          <cell r="H62" t="str">
            <v>Home &amp; Kitchen</v>
          </cell>
          <cell r="I62" t="str">
            <v>Cleaning &amp; Vacumming</v>
          </cell>
          <cell r="J62" t="str">
            <v>Nexlev 10 in 1 Steam Cleaner</v>
          </cell>
          <cell r="K62">
            <v>85098000</v>
          </cell>
          <cell r="L62">
            <v>20</v>
          </cell>
          <cell r="M62">
            <v>20</v>
          </cell>
          <cell r="N62">
            <v>0.4</v>
          </cell>
          <cell r="O62">
            <v>4.4880000000000004</v>
          </cell>
          <cell r="P62">
            <v>2190.1439999999998</v>
          </cell>
          <cell r="Q62">
            <v>2584.3699199999996</v>
          </cell>
        </row>
        <row r="63">
          <cell r="F63" t="str">
            <v>B0DKJSCLBD</v>
          </cell>
          <cell r="G63" t="str">
            <v>VC-05</v>
          </cell>
          <cell r="H63" t="str">
            <v>Home &amp; Kitchen</v>
          </cell>
          <cell r="I63" t="str">
            <v>Cleaning &amp; Vacumming</v>
          </cell>
          <cell r="J63" t="str">
            <v>Nexlev Portable Vacuum Cleaner and Blower</v>
          </cell>
          <cell r="K63">
            <v>85086000</v>
          </cell>
          <cell r="L63">
            <v>8.83</v>
          </cell>
          <cell r="M63">
            <v>0</v>
          </cell>
          <cell r="N63">
            <v>0.17660000000000001</v>
          </cell>
          <cell r="O63">
            <v>1.9814520000000004</v>
          </cell>
          <cell r="P63">
            <v>966.94857600000012</v>
          </cell>
          <cell r="Q63">
            <v>1140.9993196800001</v>
          </cell>
        </row>
        <row r="64">
          <cell r="F64" t="str">
            <v>B0DKJZDY72</v>
          </cell>
          <cell r="G64" t="str">
            <v>VC-04</v>
          </cell>
          <cell r="H64" t="str">
            <v>Home &amp; Kitchen</v>
          </cell>
          <cell r="I64" t="str">
            <v>Cleaning &amp; Vacumming</v>
          </cell>
          <cell r="J64" t="str">
            <v>Nexlev Portable Vacuum Cleaner and Blower</v>
          </cell>
          <cell r="K64">
            <v>85086000</v>
          </cell>
          <cell r="L64">
            <v>9.35</v>
          </cell>
          <cell r="M64">
            <v>9.35</v>
          </cell>
          <cell r="N64">
            <v>0.187</v>
          </cell>
          <cell r="O64">
            <v>2.0981399999999999</v>
          </cell>
          <cell r="P64">
            <v>1023.8923199999999</v>
          </cell>
          <cell r="Q64">
            <v>1208.1929375999998</v>
          </cell>
        </row>
        <row r="65">
          <cell r="F65" t="str">
            <v>B0DKJXRXKM</v>
          </cell>
          <cell r="G65" t="str">
            <v>BR-01</v>
          </cell>
          <cell r="H65" t="str">
            <v>HPC</v>
          </cell>
          <cell r="J65" t="str">
            <v>Nexlev Black Head Remover</v>
          </cell>
          <cell r="K65">
            <v>85437093</v>
          </cell>
          <cell r="L65">
            <v>4.5</v>
          </cell>
          <cell r="M65">
            <v>4.5</v>
          </cell>
          <cell r="N65">
            <v>0.09</v>
          </cell>
          <cell r="O65">
            <v>0.50490000000000002</v>
          </cell>
          <cell r="P65">
            <v>448.35120000000001</v>
          </cell>
          <cell r="Q65">
            <v>529.05441599999995</v>
          </cell>
        </row>
        <row r="66">
          <cell r="F66" t="str">
            <v>B0DKK12XWR</v>
          </cell>
          <cell r="G66" t="str">
            <v>IPL-01</v>
          </cell>
          <cell r="H66" t="str">
            <v>HPC</v>
          </cell>
          <cell r="I66" t="str">
            <v>Hair Care</v>
          </cell>
          <cell r="J66" t="str">
            <v>Nexlev IPL Hair Removal Device</v>
          </cell>
          <cell r="K66">
            <v>85437093</v>
          </cell>
          <cell r="L66">
            <v>11</v>
          </cell>
          <cell r="M66">
            <v>0</v>
          </cell>
          <cell r="N66">
            <v>0.22</v>
          </cell>
          <cell r="O66">
            <v>1.2342000000000002</v>
          </cell>
          <cell r="P66">
            <v>1095.9695999999999</v>
          </cell>
          <cell r="Q66">
            <v>1293.2441279999998</v>
          </cell>
        </row>
        <row r="67">
          <cell r="F67" t="str">
            <v>B0DKK15YNJ</v>
          </cell>
          <cell r="G67" t="str">
            <v>EA-02</v>
          </cell>
          <cell r="H67" t="str">
            <v>HPC</v>
          </cell>
          <cell r="I67" t="str">
            <v>Hair Care</v>
          </cell>
          <cell r="J67" t="str">
            <v>Nexlev Oil Applicator Comb</v>
          </cell>
          <cell r="K67">
            <v>90191020</v>
          </cell>
          <cell r="L67">
            <v>10.15</v>
          </cell>
          <cell r="M67">
            <v>11.35</v>
          </cell>
          <cell r="N67">
            <v>0.20300000000000001</v>
          </cell>
          <cell r="O67">
            <v>1.1388300000000002</v>
          </cell>
          <cell r="P67">
            <v>1011.2810400000001</v>
          </cell>
          <cell r="Q67">
            <v>1193.3116272</v>
          </cell>
        </row>
        <row r="68">
          <cell r="F68" t="str">
            <v>B0DNJP9T35</v>
          </cell>
          <cell r="G68" t="str">
            <v>SS-02</v>
          </cell>
          <cell r="H68" t="str">
            <v>Cleaning &amp; Vacumming</v>
          </cell>
          <cell r="J68" t="str">
            <v>Nexlev Spin Scrubber - mini</v>
          </cell>
          <cell r="K68">
            <v>85098000</v>
          </cell>
          <cell r="L68">
            <v>9</v>
          </cell>
          <cell r="M68">
            <v>9.9</v>
          </cell>
          <cell r="N68">
            <v>0.18</v>
          </cell>
          <cell r="O68">
            <v>1.0098</v>
          </cell>
          <cell r="P68">
            <v>896.70240000000001</v>
          </cell>
          <cell r="Q68">
            <v>1058.1088319999999</v>
          </cell>
        </row>
        <row r="69">
          <cell r="F69" t="str">
            <v>B0DM6BB3VT</v>
          </cell>
          <cell r="G69" t="str">
            <v>CFM-01</v>
          </cell>
          <cell r="H69" t="str">
            <v>HPC</v>
          </cell>
          <cell r="I69" t="str">
            <v>Electric Massagers</v>
          </cell>
          <cell r="J69" t="str">
            <v>NexLev Calf Massager</v>
          </cell>
          <cell r="K69">
            <v>90191020</v>
          </cell>
          <cell r="L69">
            <v>8.4</v>
          </cell>
          <cell r="M69">
            <v>0</v>
          </cell>
          <cell r="N69">
            <v>0.16800000000000001</v>
          </cell>
          <cell r="O69">
            <v>0.9424800000000001</v>
          </cell>
          <cell r="P69">
            <v>836.92223999999999</v>
          </cell>
          <cell r="Q69">
            <v>937.35290880000002</v>
          </cell>
        </row>
        <row r="70">
          <cell r="F70" t="str">
            <v>B0DM66B2DW</v>
          </cell>
          <cell r="G70" t="str">
            <v>KM-01</v>
          </cell>
          <cell r="H70" t="str">
            <v>HPC</v>
          </cell>
          <cell r="I70" t="str">
            <v>Electric Massagers</v>
          </cell>
          <cell r="J70" t="str">
            <v>NexLev Knee Massager</v>
          </cell>
          <cell r="K70">
            <v>90191020</v>
          </cell>
          <cell r="L70">
            <v>8.65</v>
          </cell>
          <cell r="M70">
            <v>0</v>
          </cell>
          <cell r="N70">
            <v>0.17300000000000001</v>
          </cell>
          <cell r="O70">
            <v>0.97053000000000023</v>
          </cell>
          <cell r="P70">
            <v>861.83064000000002</v>
          </cell>
          <cell r="Q70">
            <v>965.25031680000006</v>
          </cell>
        </row>
        <row r="71">
          <cell r="F71" t="str">
            <v>B0DMSHZXG2</v>
          </cell>
          <cell r="G71" t="str">
            <v>EM-02</v>
          </cell>
          <cell r="H71" t="str">
            <v>HPC</v>
          </cell>
          <cell r="I71" t="str">
            <v>Electric Massagers</v>
          </cell>
          <cell r="J71" t="str">
            <v>NexLev Eye Massager - Pro</v>
          </cell>
          <cell r="K71">
            <v>90191020</v>
          </cell>
          <cell r="L71">
            <v>12</v>
          </cell>
          <cell r="M71">
            <v>0</v>
          </cell>
          <cell r="N71">
            <v>0.24</v>
          </cell>
          <cell r="O71">
            <v>1.3464000000000003</v>
          </cell>
          <cell r="P71">
            <v>1195.6032</v>
          </cell>
          <cell r="Q71">
            <v>1339.0755840000002</v>
          </cell>
        </row>
        <row r="72">
          <cell r="F72" t="str">
            <v xml:space="preserve">B0DMT19RWC
</v>
          </cell>
          <cell r="G72" t="str">
            <v>MG-01</v>
          </cell>
          <cell r="H72" t="str">
            <v>HPC</v>
          </cell>
          <cell r="I72" t="str">
            <v>Electric Massagers</v>
          </cell>
          <cell r="J72" t="str">
            <v>NexLev Massage Gun</v>
          </cell>
          <cell r="K72">
            <v>90191020</v>
          </cell>
          <cell r="L72" t="e">
            <v>#N/A</v>
          </cell>
          <cell r="M72" t="e">
            <v>#N/A</v>
          </cell>
          <cell r="N72" t="e">
            <v>#N/A</v>
          </cell>
          <cell r="O72" t="e">
            <v>#N/A</v>
          </cell>
          <cell r="P72" t="e">
            <v>#N/A</v>
          </cell>
          <cell r="Q72" t="e">
            <v>#N/A</v>
          </cell>
        </row>
        <row r="73">
          <cell r="F73" t="str">
            <v>B0DNJJKBKG</v>
          </cell>
          <cell r="G73" t="str">
            <v>BM-02</v>
          </cell>
          <cell r="H73" t="str">
            <v>HPC</v>
          </cell>
          <cell r="I73" t="str">
            <v>Electric Massagers</v>
          </cell>
          <cell r="J73" t="str">
            <v>NexLev Back and Shoulder Massager</v>
          </cell>
          <cell r="K73">
            <v>90191020</v>
          </cell>
          <cell r="L73">
            <v>7.82</v>
          </cell>
          <cell r="M73">
            <v>0</v>
          </cell>
          <cell r="N73">
            <v>0.15640000000000001</v>
          </cell>
          <cell r="O73">
            <v>0.87740400000000007</v>
          </cell>
          <cell r="P73">
            <v>779.13475200000005</v>
          </cell>
          <cell r="Q73">
            <v>872.63092224000013</v>
          </cell>
        </row>
        <row r="74">
          <cell r="F74" t="str">
            <v>B0DRD8J8R5</v>
          </cell>
          <cell r="G74" t="str">
            <v>VC-06</v>
          </cell>
          <cell r="H74" t="str">
            <v>Home &amp; Kitchen</v>
          </cell>
          <cell r="I74" t="str">
            <v>Cleaning &amp; Vacumming</v>
          </cell>
          <cell r="J74" t="str">
            <v>NexLev Handheld Vacuum Cleaner</v>
          </cell>
          <cell r="K74">
            <v>85086000</v>
          </cell>
          <cell r="L74">
            <v>7.4</v>
          </cell>
          <cell r="M74">
            <v>0</v>
          </cell>
          <cell r="N74">
            <v>0.14800000000000002</v>
          </cell>
          <cell r="O74">
            <v>0.83028000000000013</v>
          </cell>
          <cell r="P74">
            <v>737.28863999999999</v>
          </cell>
          <cell r="Q74">
            <v>870.00059519999991</v>
          </cell>
        </row>
        <row r="75">
          <cell r="F75" t="str">
            <v>B0F43P6D23</v>
          </cell>
          <cell r="G75" t="str">
            <v>SC-05</v>
          </cell>
          <cell r="H75" t="str">
            <v>Cleaning &amp; Vacuuming</v>
          </cell>
          <cell r="J75" t="str">
            <v>Steam Cleaner-Shine Pro</v>
          </cell>
          <cell r="K75">
            <v>85098000</v>
          </cell>
          <cell r="L75">
            <v>10.8</v>
          </cell>
          <cell r="M75">
            <v>0</v>
          </cell>
          <cell r="N75">
            <v>0.21600000000000003</v>
          </cell>
          <cell r="O75">
            <v>2.4235200000000003</v>
          </cell>
          <cell r="P75">
            <v>1182.67776</v>
          </cell>
          <cell r="Q75">
            <v>1395.5597568000001</v>
          </cell>
        </row>
        <row r="76">
          <cell r="F76" t="str">
            <v>B0DVC7VJP1</v>
          </cell>
          <cell r="G76" t="str">
            <v>ST-01</v>
          </cell>
          <cell r="H76" t="str">
            <v>Kitchen Appliances</v>
          </cell>
          <cell r="J76" t="str">
            <v>Stand Mixer</v>
          </cell>
          <cell r="K76">
            <v>85094090</v>
          </cell>
          <cell r="L76">
            <v>25.5</v>
          </cell>
          <cell r="M76">
            <v>0</v>
          </cell>
          <cell r="N76">
            <v>0.51</v>
          </cell>
          <cell r="O76">
            <v>5.7222000000000008</v>
          </cell>
          <cell r="P76">
            <v>2792.4336000000003</v>
          </cell>
          <cell r="Q76">
            <v>3295.0716480000001</v>
          </cell>
        </row>
        <row r="77">
          <cell r="F77" t="str">
            <v>B0FJG5PFGQ</v>
          </cell>
          <cell r="G77" t="str">
            <v>ETC-07-WH</v>
          </cell>
          <cell r="H77" t="str">
            <v>Oral care</v>
          </cell>
          <cell r="J77" t="str">
            <v>Electric Toothbrush - Type C- White</v>
          </cell>
          <cell r="K77">
            <v>85098000</v>
          </cell>
          <cell r="L77">
            <v>2.84</v>
          </cell>
          <cell r="M77">
            <v>0</v>
          </cell>
          <cell r="N77">
            <v>5.6799999999999996E-2</v>
          </cell>
          <cell r="O77">
            <v>0.63729600000000008</v>
          </cell>
          <cell r="P77">
            <v>311.00044800000001</v>
          </cell>
          <cell r="Q77">
            <v>366.98052863999999</v>
          </cell>
        </row>
        <row r="78">
          <cell r="F78" t="str">
            <v>B0DV8XH455</v>
          </cell>
          <cell r="G78" t="str">
            <v>BM-03</v>
          </cell>
          <cell r="H78" t="str">
            <v>Massager</v>
          </cell>
          <cell r="J78" t="str">
            <v>Back and Shoulder Massager Pro</v>
          </cell>
          <cell r="K78">
            <v>90191020</v>
          </cell>
          <cell r="L78">
            <v>8</v>
          </cell>
          <cell r="M78">
            <v>0</v>
          </cell>
          <cell r="N78">
            <v>0.16</v>
          </cell>
          <cell r="O78">
            <v>0.89760000000000018</v>
          </cell>
          <cell r="P78">
            <v>797.06880000000001</v>
          </cell>
          <cell r="Q78">
            <v>940.54118399999993</v>
          </cell>
        </row>
        <row r="79">
          <cell r="F79" t="str">
            <v>B0DV9MYK6S</v>
          </cell>
          <cell r="G79" t="str">
            <v>PM-01</v>
          </cell>
          <cell r="H79" t="str">
            <v>Massager</v>
          </cell>
          <cell r="J79" t="str">
            <v>Handheld Percussion Massager</v>
          </cell>
          <cell r="K79">
            <v>90191020</v>
          </cell>
          <cell r="L79">
            <v>7.9</v>
          </cell>
          <cell r="M79">
            <v>0</v>
          </cell>
          <cell r="N79">
            <v>0.158</v>
          </cell>
          <cell r="O79">
            <v>0.88638000000000006</v>
          </cell>
          <cell r="P79">
            <v>787.10544000000004</v>
          </cell>
          <cell r="Q79">
            <v>928.7844192</v>
          </cell>
        </row>
        <row r="80">
          <cell r="F80" t="str">
            <v>B0DVCBR11D</v>
          </cell>
          <cell r="G80" t="str">
            <v>NP-06</v>
          </cell>
          <cell r="H80" t="str">
            <v>Travel &amp; outdoor</v>
          </cell>
          <cell r="J80" t="str">
            <v>NexLev Donut Pillow - Blue</v>
          </cell>
          <cell r="K80">
            <v>94043090</v>
          </cell>
          <cell r="L80">
            <v>3.6</v>
          </cell>
          <cell r="M80">
            <v>0</v>
          </cell>
          <cell r="N80">
            <v>7.2000000000000008E-2</v>
          </cell>
          <cell r="O80">
            <v>1.0303116352941177</v>
          </cell>
          <cell r="P80">
            <v>413.80342390588237</v>
          </cell>
          <cell r="Q80">
            <v>488.2880402089412</v>
          </cell>
        </row>
        <row r="81">
          <cell r="F81" t="str">
            <v>B0DVCDD5VC</v>
          </cell>
          <cell r="G81" t="str">
            <v>NP-07</v>
          </cell>
          <cell r="H81" t="str">
            <v>Travel &amp; outdoor</v>
          </cell>
          <cell r="J81" t="str">
            <v>NexLev Donut Pillow - Grey</v>
          </cell>
          <cell r="K81">
            <v>94043090</v>
          </cell>
          <cell r="L81">
            <v>3.6</v>
          </cell>
          <cell r="M81">
            <v>0</v>
          </cell>
          <cell r="N81">
            <v>7.2000000000000008E-2</v>
          </cell>
          <cell r="O81">
            <v>1.0303116352941177</v>
          </cell>
          <cell r="P81">
            <v>413.80342390588237</v>
          </cell>
          <cell r="Q81">
            <v>488.2880402089412</v>
          </cell>
        </row>
        <row r="82">
          <cell r="F82" t="str">
            <v>B0DVC9PRSD</v>
          </cell>
          <cell r="G82" t="str">
            <v>AP-01</v>
          </cell>
          <cell r="H82" t="str">
            <v>Home &amp; Kitchen</v>
          </cell>
          <cell r="J82" t="str">
            <v>Air Purifier - 5 Speed</v>
          </cell>
          <cell r="K82">
            <v>84213920</v>
          </cell>
          <cell r="L82">
            <v>85</v>
          </cell>
          <cell r="M82">
            <v>0</v>
          </cell>
          <cell r="N82">
            <v>1.7</v>
          </cell>
          <cell r="O82">
            <v>7.0245934905882343</v>
          </cell>
          <cell r="P82">
            <v>8247.764227171765</v>
          </cell>
          <cell r="Q82">
            <v>9732.3617880626825</v>
          </cell>
        </row>
        <row r="83">
          <cell r="F83" t="str">
            <v>B0DVC968P1</v>
          </cell>
          <cell r="G83" t="str">
            <v>HU-01</v>
          </cell>
          <cell r="H83" t="str">
            <v>Home &amp; Kitchen</v>
          </cell>
          <cell r="J83" t="str">
            <v>Humidifier - Black</v>
          </cell>
          <cell r="K83">
            <v>85098000</v>
          </cell>
          <cell r="L83">
            <v>6</v>
          </cell>
          <cell r="M83">
            <v>0</v>
          </cell>
          <cell r="N83">
            <v>0.12</v>
          </cell>
          <cell r="O83">
            <v>1.3522493082352942</v>
          </cell>
          <cell r="P83">
            <v>657.55793912470597</v>
          </cell>
          <cell r="Q83">
            <v>775.91836816715295</v>
          </cell>
        </row>
        <row r="84">
          <cell r="F84" t="str">
            <v>B0DVC8NYY2</v>
          </cell>
          <cell r="G84" t="str">
            <v>HU-02</v>
          </cell>
          <cell r="H84" t="str">
            <v>Home &amp; Kitchen</v>
          </cell>
          <cell r="J84" t="str">
            <v>Humidifier - White</v>
          </cell>
          <cell r="K84">
            <v>85098000</v>
          </cell>
          <cell r="L84">
            <v>6</v>
          </cell>
          <cell r="M84">
            <v>0</v>
          </cell>
          <cell r="N84">
            <v>0.12</v>
          </cell>
          <cell r="O84">
            <v>1.3522493082352942</v>
          </cell>
          <cell r="P84">
            <v>657.55793912470597</v>
          </cell>
          <cell r="Q84">
            <v>775.91836816715295</v>
          </cell>
        </row>
        <row r="85">
          <cell r="F85" t="str">
            <v>B0DV931G48</v>
          </cell>
          <cell r="G85" t="str">
            <v>PM-02</v>
          </cell>
          <cell r="H85" t="str">
            <v>Massager</v>
          </cell>
          <cell r="J85" t="str">
            <v>Percussion Massager - Mini</v>
          </cell>
          <cell r="K85">
            <v>90191020</v>
          </cell>
          <cell r="L85">
            <v>8</v>
          </cell>
          <cell r="M85">
            <v>0</v>
          </cell>
          <cell r="N85">
            <v>0.16</v>
          </cell>
          <cell r="O85">
            <v>0.89760000000000018</v>
          </cell>
          <cell r="P85">
            <v>797.06880000000001</v>
          </cell>
          <cell r="Q85">
            <v>940.54118399999993</v>
          </cell>
        </row>
        <row r="86">
          <cell r="F86" t="str">
            <v>B0DVC58QPZ</v>
          </cell>
          <cell r="G86" t="str">
            <v>AP-03</v>
          </cell>
          <cell r="H86" t="str">
            <v>Home &amp; Kitchen</v>
          </cell>
          <cell r="J86" t="str">
            <v>NexLev Air Purifier Mini</v>
          </cell>
          <cell r="K86">
            <v>84213920</v>
          </cell>
          <cell r="L86">
            <v>17.5</v>
          </cell>
          <cell r="M86">
            <v>0</v>
          </cell>
          <cell r="N86">
            <v>0.35000000000000003</v>
          </cell>
          <cell r="O86">
            <v>1.9635000000000005</v>
          </cell>
          <cell r="P86">
            <v>1743.5880000000002</v>
          </cell>
          <cell r="Q86">
            <v>2057.4338400000001</v>
          </cell>
        </row>
        <row r="87">
          <cell r="F87" t="str">
            <v>B0DVC91Q7J</v>
          </cell>
          <cell r="G87" t="str">
            <v>TM-05</v>
          </cell>
          <cell r="H87" t="str">
            <v>HPC</v>
          </cell>
          <cell r="J87" t="str">
            <v>Vacuum Trimmer</v>
          </cell>
          <cell r="K87">
            <v>85101000</v>
          </cell>
          <cell r="L87">
            <v>9</v>
          </cell>
          <cell r="M87">
            <v>0</v>
          </cell>
          <cell r="N87">
            <v>0.18</v>
          </cell>
          <cell r="O87">
            <v>2.0196000000000001</v>
          </cell>
          <cell r="P87">
            <v>985.56479999999999</v>
          </cell>
          <cell r="Q87">
            <v>1162.9664639999999</v>
          </cell>
        </row>
        <row r="88">
          <cell r="F88" t="str">
            <v>B0FJ1ZB4G9</v>
          </cell>
          <cell r="G88" t="str">
            <v>ETC-08-BL</v>
          </cell>
          <cell r="H88" t="str">
            <v>Oral care</v>
          </cell>
          <cell r="J88" t="str">
            <v>Electric Toothbrush - Type C- Blue</v>
          </cell>
          <cell r="K88">
            <v>85098000</v>
          </cell>
          <cell r="L88">
            <v>3.09</v>
          </cell>
          <cell r="M88">
            <v>0</v>
          </cell>
          <cell r="N88">
            <v>6.1800000000000001E-2</v>
          </cell>
          <cell r="O88">
            <v>0.69339600000000001</v>
          </cell>
          <cell r="P88">
            <v>338.37724799999995</v>
          </cell>
          <cell r="Q88">
            <v>399.28515263999992</v>
          </cell>
        </row>
        <row r="89">
          <cell r="F89" t="str">
            <v>B0FJ8SFNRH</v>
          </cell>
          <cell r="G89" t="str">
            <v>KE-03</v>
          </cell>
          <cell r="H89" t="str">
            <v>Home &amp; Kitchen</v>
          </cell>
          <cell r="I89" t="str">
            <v>Kitchen Appliances</v>
          </cell>
          <cell r="J89" t="str">
            <v>NexLev Grand SS 1.8L Electric Kettle</v>
          </cell>
          <cell r="K89">
            <v>85167990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275</v>
          </cell>
          <cell r="Q89">
            <v>324.5</v>
          </cell>
        </row>
        <row r="90">
          <cell r="F90" t="str">
            <v>B0DV8V3Y88</v>
          </cell>
          <cell r="G90" t="str">
            <v>LE-08</v>
          </cell>
          <cell r="L90">
            <v>6.5</v>
          </cell>
          <cell r="M90">
            <v>0</v>
          </cell>
          <cell r="N90">
            <v>0.13</v>
          </cell>
          <cell r="O90">
            <v>0.72930000000000006</v>
          </cell>
          <cell r="P90">
            <v>647.61840000000007</v>
          </cell>
          <cell r="Q90">
            <v>764.18971199999999</v>
          </cell>
        </row>
        <row r="91">
          <cell r="F91" t="str">
            <v>B0FS7T8151</v>
          </cell>
          <cell r="G91" t="str">
            <v>MF-01</v>
          </cell>
          <cell r="L91">
            <v>1.98</v>
          </cell>
          <cell r="M91">
            <v>0</v>
          </cell>
          <cell r="N91">
            <v>3.9600000000000003E-2</v>
          </cell>
          <cell r="O91">
            <v>0.4443120000000001</v>
          </cell>
          <cell r="P91">
            <v>216.82425600000002</v>
          </cell>
          <cell r="Q91">
            <v>255.85262208</v>
          </cell>
        </row>
        <row r="92">
          <cell r="F92" t="str">
            <v>B0FSF1N457</v>
          </cell>
          <cell r="G92" t="str">
            <v>MC-01</v>
          </cell>
          <cell r="L92">
            <v>2.25</v>
          </cell>
          <cell r="M92">
            <v>0</v>
          </cell>
          <cell r="N92">
            <v>4.4999999999999998E-2</v>
          </cell>
          <cell r="O92">
            <v>0.50490000000000002</v>
          </cell>
          <cell r="P92">
            <v>246.3912</v>
          </cell>
          <cell r="Q92">
            <v>290.74161599999996</v>
          </cell>
        </row>
        <row r="93">
          <cell r="F93" t="str">
            <v>B0FS6TB7CP</v>
          </cell>
          <cell r="G93" t="str">
            <v>PB-01</v>
          </cell>
          <cell r="L93">
            <v>9.9500000000000011</v>
          </cell>
          <cell r="M93">
            <v>0</v>
          </cell>
          <cell r="N93">
            <v>0.19900000000000004</v>
          </cell>
          <cell r="O93">
            <v>2.2327800000000004</v>
          </cell>
          <cell r="P93">
            <v>1089.59664</v>
          </cell>
          <cell r="Q93">
            <v>1285.7240351999999</v>
          </cell>
        </row>
        <row r="94">
          <cell r="F94" t="str">
            <v>B0FT8R24QM</v>
          </cell>
          <cell r="G94" t="str">
            <v>LR-03</v>
          </cell>
          <cell r="L94">
            <v>1.1000000000000001</v>
          </cell>
          <cell r="M94">
            <v>0</v>
          </cell>
          <cell r="N94">
            <v>2.2000000000000002E-2</v>
          </cell>
          <cell r="O94">
            <v>0.24684000000000006</v>
          </cell>
          <cell r="P94">
            <v>120.45792</v>
          </cell>
          <cell r="Q94">
            <v>142.14034559999999</v>
          </cell>
        </row>
        <row r="95">
          <cell r="F95" t="str">
            <v>B0FPGDVVCX</v>
          </cell>
          <cell r="G95" t="str">
            <v>CFM-03</v>
          </cell>
          <cell r="L95">
            <v>16.8</v>
          </cell>
          <cell r="M95">
            <v>0</v>
          </cell>
          <cell r="N95">
            <v>0.33600000000000002</v>
          </cell>
          <cell r="O95">
            <v>1.8849600000000002</v>
          </cell>
          <cell r="P95">
            <v>1673.84448</v>
          </cell>
          <cell r="Q95">
            <v>1975.1364864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773735559_4e7bc90ec61444bfa761"/>
    </sheetNames>
    <sheetDataSet>
      <sheetData sheetId="0" refreshError="1">
        <row r="1">
          <cell r="B1" t="str">
            <v>Item ID</v>
          </cell>
          <cell r="C1" t="str">
            <v>Model</v>
          </cell>
          <cell r="D1" t="str">
            <v>Amazon SP</v>
          </cell>
          <cell r="E1" t="str">
            <v>Blinkit Price</v>
          </cell>
        </row>
        <row r="2">
          <cell r="B2">
            <v>10236255</v>
          </cell>
          <cell r="C2" t="str">
            <v>MR-01</v>
          </cell>
          <cell r="D2">
            <v>2899</v>
          </cell>
          <cell r="E2">
            <v>2899</v>
          </cell>
        </row>
        <row r="3">
          <cell r="B3">
            <v>10246012</v>
          </cell>
          <cell r="C3" t="str">
            <v>BR-01</v>
          </cell>
          <cell r="D3">
            <v>1598</v>
          </cell>
          <cell r="E3">
            <v>1549</v>
          </cell>
        </row>
        <row r="4">
          <cell r="B4">
            <v>10229879</v>
          </cell>
          <cell r="C4" t="str">
            <v>FS-01</v>
          </cell>
          <cell r="D4">
            <v>1698</v>
          </cell>
          <cell r="E4">
            <v>1698</v>
          </cell>
        </row>
        <row r="5">
          <cell r="B5">
            <v>10254807</v>
          </cell>
          <cell r="C5" t="str">
            <v>TM-03</v>
          </cell>
          <cell r="D5">
            <v>1049</v>
          </cell>
          <cell r="E5">
            <v>999</v>
          </cell>
        </row>
        <row r="6">
          <cell r="B6">
            <v>10223639</v>
          </cell>
          <cell r="C6" t="str">
            <v>SC-05</v>
          </cell>
          <cell r="D6">
            <v>2899</v>
          </cell>
          <cell r="E6">
            <v>2799</v>
          </cell>
        </row>
        <row r="7">
          <cell r="B7">
            <v>10223872</v>
          </cell>
          <cell r="C7" t="str">
            <v>SC-01</v>
          </cell>
          <cell r="D7">
            <v>3499</v>
          </cell>
          <cell r="E7">
            <v>3499</v>
          </cell>
        </row>
        <row r="8">
          <cell r="B8">
            <v>10247375</v>
          </cell>
          <cell r="C8" t="str">
            <v>AM-C1</v>
          </cell>
          <cell r="D8">
            <v>2649</v>
          </cell>
          <cell r="E8">
            <v>2628</v>
          </cell>
        </row>
        <row r="9">
          <cell r="B9">
            <v>10247010</v>
          </cell>
          <cell r="C9" t="str">
            <v>AM-C46</v>
          </cell>
          <cell r="D9">
            <v>3519</v>
          </cell>
          <cell r="E9">
            <v>3518</v>
          </cell>
        </row>
        <row r="10">
          <cell r="B10">
            <v>10224530</v>
          </cell>
          <cell r="C10" t="str">
            <v>CFM-01</v>
          </cell>
          <cell r="D10">
            <v>2799</v>
          </cell>
          <cell r="E10">
            <v>2799</v>
          </cell>
        </row>
        <row r="11">
          <cell r="B11">
            <v>10243734</v>
          </cell>
          <cell r="C11" t="str">
            <v>KE-02</v>
          </cell>
          <cell r="D11">
            <v>1599</v>
          </cell>
          <cell r="E11">
            <v>1599</v>
          </cell>
        </row>
        <row r="12">
          <cell r="B12">
            <v>10245584</v>
          </cell>
          <cell r="C12" t="str">
            <v>EA-02</v>
          </cell>
          <cell r="D12">
            <v>2599</v>
          </cell>
          <cell r="E12">
            <v>2599</v>
          </cell>
        </row>
        <row r="13">
          <cell r="B13">
            <v>10225087</v>
          </cell>
          <cell r="C13" t="str">
            <v>AP-03</v>
          </cell>
          <cell r="D13">
            <v>3599</v>
          </cell>
          <cell r="E13">
            <v>3599</v>
          </cell>
        </row>
        <row r="14">
          <cell r="B14">
            <v>10245477</v>
          </cell>
          <cell r="C14" t="str">
            <v>VC-01</v>
          </cell>
          <cell r="D14">
            <v>2099</v>
          </cell>
          <cell r="E14">
            <v>1999</v>
          </cell>
        </row>
        <row r="15">
          <cell r="B15">
            <v>10235460</v>
          </cell>
          <cell r="C15" t="str">
            <v>SS-02</v>
          </cell>
          <cell r="D15">
            <v>1799</v>
          </cell>
          <cell r="E15">
            <v>1799</v>
          </cell>
        </row>
        <row r="16">
          <cell r="B16">
            <v>10222304</v>
          </cell>
          <cell r="C16" t="str">
            <v>GS-05</v>
          </cell>
          <cell r="D16">
            <v>1849</v>
          </cell>
          <cell r="E16">
            <v>1849</v>
          </cell>
        </row>
        <row r="17">
          <cell r="B17">
            <v>10232177</v>
          </cell>
          <cell r="C17" t="str">
            <v>AM-W17</v>
          </cell>
          <cell r="D17">
            <v>1649</v>
          </cell>
          <cell r="E17">
            <v>1649</v>
          </cell>
        </row>
        <row r="18">
          <cell r="B18">
            <v>10235853</v>
          </cell>
          <cell r="C18" t="str">
            <v>CM-01-BL</v>
          </cell>
          <cell r="D18">
            <v>1499</v>
          </cell>
          <cell r="E18">
            <v>1349</v>
          </cell>
        </row>
        <row r="19">
          <cell r="B19">
            <v>10244528</v>
          </cell>
          <cell r="C19" t="str">
            <v>GS-02</v>
          </cell>
          <cell r="D19">
            <v>2199</v>
          </cell>
          <cell r="E19">
            <v>2199</v>
          </cell>
        </row>
        <row r="20">
          <cell r="B20">
            <v>10253018</v>
          </cell>
          <cell r="C20" t="str">
            <v>HM-02</v>
          </cell>
          <cell r="D20">
            <v>1499</v>
          </cell>
          <cell r="E20">
            <v>1399</v>
          </cell>
        </row>
        <row r="21">
          <cell r="B21">
            <v>10254809</v>
          </cell>
          <cell r="C21" t="str">
            <v>TM-01</v>
          </cell>
          <cell r="D21">
            <v>799</v>
          </cell>
          <cell r="E21">
            <v>699</v>
          </cell>
        </row>
        <row r="22">
          <cell r="B22">
            <v>10245277</v>
          </cell>
          <cell r="C22" t="str">
            <v>TI-02</v>
          </cell>
          <cell r="D22">
            <v>1599</v>
          </cell>
          <cell r="E22">
            <v>1499</v>
          </cell>
        </row>
        <row r="23">
          <cell r="B23">
            <v>10229357</v>
          </cell>
          <cell r="C23" t="str">
            <v>V-01 Rose Gold</v>
          </cell>
          <cell r="D23">
            <v>1498</v>
          </cell>
          <cell r="E23">
            <v>1498</v>
          </cell>
        </row>
        <row r="24">
          <cell r="B24">
            <v>10245034</v>
          </cell>
          <cell r="C24" t="str">
            <v>EA-01</v>
          </cell>
          <cell r="D24">
            <v>1099</v>
          </cell>
          <cell r="E24">
            <v>1099</v>
          </cell>
        </row>
        <row r="25">
          <cell r="B25">
            <v>10225457</v>
          </cell>
          <cell r="C25" t="str">
            <v>HM-01</v>
          </cell>
          <cell r="D25">
            <v>999</v>
          </cell>
          <cell r="E25">
            <v>999</v>
          </cell>
        </row>
        <row r="26">
          <cell r="B26">
            <v>10235831</v>
          </cell>
          <cell r="C26" t="str">
            <v>NP-06</v>
          </cell>
          <cell r="D26">
            <v>999</v>
          </cell>
          <cell r="E26">
            <v>977</v>
          </cell>
        </row>
        <row r="27">
          <cell r="B27">
            <v>10245186</v>
          </cell>
          <cell r="C27" t="str">
            <v>HSB-04</v>
          </cell>
          <cell r="D27">
            <v>2449</v>
          </cell>
          <cell r="E27">
            <v>2449</v>
          </cell>
        </row>
        <row r="28">
          <cell r="B28">
            <v>10246003</v>
          </cell>
          <cell r="C28" t="str">
            <v>ETC-04-WH</v>
          </cell>
          <cell r="D28">
            <v>749</v>
          </cell>
          <cell r="E28">
            <v>749</v>
          </cell>
        </row>
        <row r="29">
          <cell r="B29">
            <v>10266349</v>
          </cell>
          <cell r="C29" t="str">
            <v>LR-03</v>
          </cell>
          <cell r="D29">
            <v>358</v>
          </cell>
          <cell r="E29">
            <v>358</v>
          </cell>
        </row>
        <row r="30">
          <cell r="B30">
            <v>10246220</v>
          </cell>
          <cell r="C30" t="str">
            <v>AM-W16</v>
          </cell>
          <cell r="D30">
            <v>1349</v>
          </cell>
          <cell r="E30">
            <v>1187</v>
          </cell>
        </row>
        <row r="31">
          <cell r="B31">
            <v>10229301</v>
          </cell>
          <cell r="C31" t="str">
            <v>AM-W45</v>
          </cell>
          <cell r="D31">
            <v>5099</v>
          </cell>
          <cell r="E31">
            <v>4999</v>
          </cell>
        </row>
        <row r="32">
          <cell r="B32">
            <v>10222298</v>
          </cell>
          <cell r="C32" t="str">
            <v>LR-01</v>
          </cell>
          <cell r="D32">
            <v>899</v>
          </cell>
          <cell r="E32">
            <v>749</v>
          </cell>
        </row>
        <row r="33">
          <cell r="B33">
            <v>10254574</v>
          </cell>
          <cell r="C33" t="str">
            <v>KE-01</v>
          </cell>
          <cell r="D33">
            <v>1749</v>
          </cell>
          <cell r="E33">
            <v>1699</v>
          </cell>
        </row>
        <row r="34">
          <cell r="B34">
            <v>10226828</v>
          </cell>
          <cell r="C34" t="str">
            <v>T-01</v>
          </cell>
          <cell r="D34">
            <v>999</v>
          </cell>
          <cell r="E34">
            <v>999</v>
          </cell>
        </row>
        <row r="35">
          <cell r="B35">
            <v>10247251</v>
          </cell>
          <cell r="C35" t="str">
            <v>AI-04</v>
          </cell>
          <cell r="D35">
            <v>4799</v>
          </cell>
          <cell r="E35">
            <v>4499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7B72-FC7F-4A3A-AD96-B7FC1B342D8C}">
  <dimension ref="A1:AH34"/>
  <sheetViews>
    <sheetView tabSelected="1" workbookViewId="0">
      <selection activeCell="Q4" sqref="Q4"/>
    </sheetView>
  </sheetViews>
  <sheetFormatPr defaultRowHeight="15" x14ac:dyDescent="0.25"/>
  <cols>
    <col min="8" max="8" width="25.5703125" bestFit="1" customWidth="1"/>
    <col min="9" max="9" width="31.28515625" bestFit="1" customWidth="1"/>
    <col min="16" max="16" width="9.7109375" bestFit="1" customWidth="1"/>
    <col min="20" max="20" width="13.28515625" bestFit="1" customWidth="1"/>
    <col min="21" max="21" width="12.42578125" bestFit="1" customWidth="1"/>
  </cols>
  <sheetData>
    <row r="1" spans="1:34" x14ac:dyDescent="0.25">
      <c r="A1" s="6" t="s">
        <v>142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  <c r="H1" s="6" t="s">
        <v>143</v>
      </c>
      <c r="I1" s="6" t="s">
        <v>6</v>
      </c>
      <c r="J1" s="6" t="s">
        <v>144</v>
      </c>
      <c r="K1" s="8" t="s">
        <v>7</v>
      </c>
      <c r="L1" s="6" t="s">
        <v>8</v>
      </c>
      <c r="M1" s="9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145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2"/>
    </row>
    <row r="2" spans="1:34" x14ac:dyDescent="0.25">
      <c r="A2" s="10">
        <v>1.41</v>
      </c>
      <c r="B2" s="11">
        <v>10244528</v>
      </c>
      <c r="C2" s="11" t="s">
        <v>25</v>
      </c>
      <c r="D2" s="10" t="s">
        <v>26</v>
      </c>
      <c r="E2" s="11" t="s">
        <v>29</v>
      </c>
      <c r="F2" s="11" t="s">
        <v>30</v>
      </c>
      <c r="G2" s="11" t="s">
        <v>31</v>
      </c>
      <c r="H2" s="10" t="s">
        <v>146</v>
      </c>
      <c r="I2" s="12" t="s">
        <v>33</v>
      </c>
      <c r="J2" s="10" t="s">
        <v>147</v>
      </c>
      <c r="K2" s="13">
        <f>VLOOKUP(D2,'[1]Amazon Live Products'!F:P,11,0)</f>
        <v>1046.0171955200001</v>
      </c>
      <c r="L2" s="13">
        <f>VLOOKUP(D2,'[1]Amazon Live Products'!F:Q,12,0)</f>
        <v>1234.3002907136001</v>
      </c>
      <c r="M2" s="13">
        <f t="shared" ref="M2:M3" si="0">AB2*10%</f>
        <v>219.9</v>
      </c>
      <c r="N2" s="14">
        <f>AB2*2%</f>
        <v>43.980000000000004</v>
      </c>
      <c r="O2" s="13">
        <v>50</v>
      </c>
      <c r="P2" s="13">
        <f>AB2*4%</f>
        <v>87.960000000000008</v>
      </c>
      <c r="Q2" s="13">
        <v>125.91</v>
      </c>
      <c r="R2" s="13">
        <v>192.71</v>
      </c>
      <c r="S2" s="13">
        <f t="shared" ref="S2:S34" si="1">A2*15</f>
        <v>21.15</v>
      </c>
      <c r="T2" s="13">
        <v>5</v>
      </c>
      <c r="U2" s="13">
        <f t="shared" ref="U2:U3" si="2">AB2*5%</f>
        <v>109.95</v>
      </c>
      <c r="V2" s="13">
        <f t="shared" ref="V2:V3" si="3">AB2*3%</f>
        <v>65.97</v>
      </c>
      <c r="W2" s="13">
        <f t="shared" ref="W2:W3" si="4">AB2-(AB2/1.18)</f>
        <v>335.4406779661017</v>
      </c>
      <c r="X2" s="13">
        <f>K2+M2+N2+O2+P2+Q2+S2+T2+U2+V2+W2</f>
        <v>2111.2778734861022</v>
      </c>
      <c r="Y2" s="13">
        <f>AB2-X2</f>
        <v>87.72212651389782</v>
      </c>
      <c r="Z2" s="15">
        <f>Y2/AB2</f>
        <v>3.9891826518370997E-2</v>
      </c>
      <c r="AA2" s="15">
        <v>0.02</v>
      </c>
      <c r="AB2" s="13">
        <f>VLOOKUP(B2,'[2]1773735559_4e7bc90ec61444bfa761'!$B:$E,4,0)</f>
        <v>2199</v>
      </c>
      <c r="AC2" s="13">
        <f>VLOOKUP(B2,'[2]1773735559_4e7bc90ec61444bfa761'!$B:$D,3,0)</f>
        <v>2199</v>
      </c>
      <c r="AD2" s="4"/>
    </row>
    <row r="3" spans="1:34" x14ac:dyDescent="0.25">
      <c r="A3" s="10">
        <v>2.46</v>
      </c>
      <c r="B3" s="11">
        <v>10223872</v>
      </c>
      <c r="C3" s="11" t="s">
        <v>27</v>
      </c>
      <c r="D3" s="10" t="s">
        <v>28</v>
      </c>
      <c r="E3" s="11" t="s">
        <v>29</v>
      </c>
      <c r="F3" s="11" t="s">
        <v>32</v>
      </c>
      <c r="G3" s="11" t="s">
        <v>31</v>
      </c>
      <c r="H3" s="10" t="s">
        <v>146</v>
      </c>
      <c r="I3" s="12" t="s">
        <v>34</v>
      </c>
      <c r="J3" s="10" t="s">
        <v>148</v>
      </c>
      <c r="K3" s="13">
        <f>VLOOKUP(D3,'[1]Amazon Live Products'!F:P,11,0)</f>
        <v>1491.5552235294117</v>
      </c>
      <c r="L3" s="13">
        <f>VLOOKUP(D3,'[1]Amazon Live Products'!F:Q,12,0)</f>
        <v>1760.0351637647057</v>
      </c>
      <c r="M3" s="13">
        <f t="shared" si="0"/>
        <v>349.90000000000003</v>
      </c>
      <c r="N3" s="14">
        <f>AB3*2%</f>
        <v>69.98</v>
      </c>
      <c r="O3" s="13">
        <v>50</v>
      </c>
      <c r="P3" s="13">
        <f t="shared" ref="P3" si="5">AB3*4%</f>
        <v>139.96</v>
      </c>
      <c r="Q3" s="13">
        <v>180.15</v>
      </c>
      <c r="R3" s="13">
        <v>275.74</v>
      </c>
      <c r="S3" s="13">
        <f t="shared" si="1"/>
        <v>36.9</v>
      </c>
      <c r="T3" s="13">
        <v>5</v>
      </c>
      <c r="U3" s="13">
        <f t="shared" si="2"/>
        <v>174.95000000000002</v>
      </c>
      <c r="V3" s="13">
        <f t="shared" si="3"/>
        <v>104.97</v>
      </c>
      <c r="W3" s="13">
        <f t="shared" si="4"/>
        <v>533.74576271186424</v>
      </c>
      <c r="X3" s="13">
        <f t="shared" ref="X3" si="6">K3+M3+N3+O3+P3+Q3+S3+T3+U3+V3+W3</f>
        <v>3137.1109862412759</v>
      </c>
      <c r="Y3" s="13">
        <f>AB3-X3</f>
        <v>361.8890137587241</v>
      </c>
      <c r="Z3" s="15">
        <f>Y3/AB3</f>
        <v>0.10342641147720037</v>
      </c>
      <c r="AA3" s="15">
        <v>0.02</v>
      </c>
      <c r="AB3" s="13">
        <f>VLOOKUP(B3,'[2]1773735559_4e7bc90ec61444bfa761'!$B:$E,4,0)</f>
        <v>3499</v>
      </c>
      <c r="AC3" s="13">
        <f>VLOOKUP(B3,'[2]1773735559_4e7bc90ec61444bfa761'!$B:$D,3,0)</f>
        <v>3499</v>
      </c>
    </row>
    <row r="4" spans="1:34" x14ac:dyDescent="0.25">
      <c r="A4" s="10">
        <v>1.6</v>
      </c>
      <c r="B4" s="11">
        <v>10236255</v>
      </c>
      <c r="C4" s="11" t="s">
        <v>35</v>
      </c>
      <c r="D4" s="10" t="s">
        <v>36</v>
      </c>
      <c r="E4" s="11" t="s">
        <v>29</v>
      </c>
      <c r="F4" s="11" t="s">
        <v>37</v>
      </c>
      <c r="G4" s="11" t="s">
        <v>31</v>
      </c>
      <c r="H4" s="10" t="s">
        <v>146</v>
      </c>
      <c r="I4" s="10" t="s">
        <v>34</v>
      </c>
      <c r="J4" s="10" t="s">
        <v>150</v>
      </c>
      <c r="K4" s="13">
        <f>VLOOKUP(D4,'[1]Amazon Live Products'!F:P,11,0)</f>
        <v>936.55584000000022</v>
      </c>
      <c r="L4" s="13">
        <f>VLOOKUP(D4,'[1]Amazon Live Products'!F:Q,12,0)</f>
        <v>1105.1358912000003</v>
      </c>
      <c r="M4" s="13">
        <f t="shared" ref="M4:M6" si="7">AB4*10%</f>
        <v>289.90000000000003</v>
      </c>
      <c r="N4" s="14">
        <f>AB4*2%</f>
        <v>57.980000000000004</v>
      </c>
      <c r="O4" s="13">
        <v>50</v>
      </c>
      <c r="P4" s="13">
        <f t="shared" ref="P4:P6" si="8">AB4*4%</f>
        <v>115.96000000000001</v>
      </c>
      <c r="Q4" s="13">
        <v>212.57</v>
      </c>
      <c r="R4" s="13">
        <v>325.36</v>
      </c>
      <c r="S4" s="13">
        <f t="shared" si="1"/>
        <v>24</v>
      </c>
      <c r="T4" s="13">
        <v>5</v>
      </c>
      <c r="U4" s="13">
        <f t="shared" ref="U4:U6" si="9">AB4*5%</f>
        <v>144.95000000000002</v>
      </c>
      <c r="V4" s="13">
        <f t="shared" ref="V4:V6" si="10">AB4*3%</f>
        <v>86.97</v>
      </c>
      <c r="W4" s="13">
        <f t="shared" ref="W4:W6" si="11">AB4-(AB4/1.18)</f>
        <v>442.22033898305062</v>
      </c>
      <c r="X4" s="13">
        <f t="shared" ref="X4:X6" si="12">K4+M4+N4+O4+P4+Q4+S4+T4+U4+V4+W4</f>
        <v>2366.106178983051</v>
      </c>
      <c r="Y4" s="13">
        <f t="shared" ref="Y4:Y7" si="13">AB4-X4</f>
        <v>532.893821016949</v>
      </c>
      <c r="Z4" s="15">
        <f t="shared" ref="Z4:Z7" si="14">Y4/AB4</f>
        <v>0.18381987617004106</v>
      </c>
      <c r="AA4" s="15">
        <v>0.02</v>
      </c>
      <c r="AB4" s="13">
        <f>VLOOKUP(B4,'[2]1773735559_4e7bc90ec61444bfa761'!$B:$E,4,0)</f>
        <v>2899</v>
      </c>
      <c r="AC4" s="13">
        <f>VLOOKUP(B4,'[2]1773735559_4e7bc90ec61444bfa761'!$B:$D,3,0)</f>
        <v>2899</v>
      </c>
      <c r="AD4" s="3"/>
    </row>
    <row r="5" spans="1:34" x14ac:dyDescent="0.25">
      <c r="A5" s="10">
        <v>9.2999999999999999E-2</v>
      </c>
      <c r="B5" s="11">
        <v>10226828</v>
      </c>
      <c r="C5" s="11" t="s">
        <v>38</v>
      </c>
      <c r="D5" s="10" t="s">
        <v>39</v>
      </c>
      <c r="E5" s="11" t="s">
        <v>29</v>
      </c>
      <c r="F5" s="11" t="s">
        <v>40</v>
      </c>
      <c r="G5" s="11" t="s">
        <v>41</v>
      </c>
      <c r="H5" s="10" t="s">
        <v>149</v>
      </c>
      <c r="I5" s="10" t="s">
        <v>42</v>
      </c>
      <c r="J5" s="10" t="s">
        <v>151</v>
      </c>
      <c r="K5" s="13">
        <f>VLOOKUP(D5,'[1]Amazon Live Products'!F:P,11,0)</f>
        <v>433.64851200000004</v>
      </c>
      <c r="L5" s="13">
        <f>VLOOKUP(D5,'[1]Amazon Live Products'!F:Q,12,0)</f>
        <v>511.70524416000001</v>
      </c>
      <c r="M5" s="13">
        <f t="shared" si="7"/>
        <v>99.9</v>
      </c>
      <c r="N5" s="14">
        <f>AB5*5%</f>
        <v>49.95</v>
      </c>
      <c r="O5" s="13">
        <v>50</v>
      </c>
      <c r="P5" s="13">
        <f t="shared" si="8"/>
        <v>39.96</v>
      </c>
      <c r="Q5" s="13">
        <v>67.5</v>
      </c>
      <c r="R5" s="13">
        <v>112.5</v>
      </c>
      <c r="S5" s="13">
        <f t="shared" si="1"/>
        <v>1.395</v>
      </c>
      <c r="T5" s="13">
        <v>5</v>
      </c>
      <c r="U5" s="13">
        <f t="shared" si="9"/>
        <v>49.95</v>
      </c>
      <c r="V5" s="13">
        <f t="shared" si="10"/>
        <v>29.97</v>
      </c>
      <c r="W5" s="13">
        <f t="shared" si="11"/>
        <v>152.38983050847457</v>
      </c>
      <c r="X5" s="13">
        <f t="shared" si="12"/>
        <v>979.66334250847478</v>
      </c>
      <c r="Y5" s="13">
        <f t="shared" si="13"/>
        <v>19.336657491525216</v>
      </c>
      <c r="Z5" s="15">
        <f t="shared" si="14"/>
        <v>1.9356013505030245E-2</v>
      </c>
      <c r="AA5" s="15">
        <v>0.05</v>
      </c>
      <c r="AB5" s="13">
        <f>VLOOKUP(B5,'[2]1773735559_4e7bc90ec61444bfa761'!$B:$E,4,0)</f>
        <v>999</v>
      </c>
      <c r="AC5" s="13">
        <f>VLOOKUP(B5,'[2]1773735559_4e7bc90ec61444bfa761'!$B:$D,3,0)</f>
        <v>999</v>
      </c>
    </row>
    <row r="6" spans="1:34" x14ac:dyDescent="0.25">
      <c r="A6" s="10">
        <v>1.3</v>
      </c>
      <c r="B6" s="11">
        <v>10222304</v>
      </c>
      <c r="C6" s="11" t="s">
        <v>43</v>
      </c>
      <c r="D6" s="10" t="s">
        <v>44</v>
      </c>
      <c r="E6" s="11" t="s">
        <v>29</v>
      </c>
      <c r="F6" s="11" t="s">
        <v>45</v>
      </c>
      <c r="G6" s="11" t="s">
        <v>41</v>
      </c>
      <c r="H6" s="10" t="s">
        <v>146</v>
      </c>
      <c r="I6" s="10" t="s">
        <v>33</v>
      </c>
      <c r="J6" s="10" t="s">
        <v>152</v>
      </c>
      <c r="K6" s="13">
        <f>VLOOKUP(D6,'[1]Amazon Live Products'!F:P,11,0)</f>
        <v>821.30399999999997</v>
      </c>
      <c r="L6" s="13">
        <f>VLOOKUP(D6,'[1]Amazon Live Products'!F:Q,12,0)</f>
        <v>969.13871999999992</v>
      </c>
      <c r="M6" s="13">
        <f t="shared" si="7"/>
        <v>184.9</v>
      </c>
      <c r="N6" s="14">
        <f t="shared" ref="N6:N7" si="15">IF(AB6&lt;=1200, AB6*2%,
   IF(AB6&lt;=1500, AB6*5%,
      IF(AB6&lt;=2000, AB6*7%,
         IF(AB6&lt;=3000, AB6*9%,
            IF(AB6&gt;3000, AB6*11%, 0)
         )
      )
   )
)</f>
        <v>129.43</v>
      </c>
      <c r="O6" s="13">
        <v>50</v>
      </c>
      <c r="P6" s="13">
        <f t="shared" si="8"/>
        <v>73.960000000000008</v>
      </c>
      <c r="Q6" s="13">
        <v>67.5</v>
      </c>
      <c r="R6" s="13">
        <v>112.5</v>
      </c>
      <c r="S6" s="13">
        <f t="shared" si="1"/>
        <v>19.5</v>
      </c>
      <c r="T6" s="13">
        <v>5</v>
      </c>
      <c r="U6" s="13">
        <f t="shared" si="9"/>
        <v>92.45</v>
      </c>
      <c r="V6" s="13">
        <f t="shared" si="10"/>
        <v>55.47</v>
      </c>
      <c r="W6" s="13">
        <f t="shared" si="11"/>
        <v>282.05084745762701</v>
      </c>
      <c r="X6" s="13">
        <f t="shared" si="12"/>
        <v>1781.5648474576271</v>
      </c>
      <c r="Y6" s="13">
        <f t="shared" si="13"/>
        <v>67.435152542372862</v>
      </c>
      <c r="Z6" s="15">
        <f t="shared" si="14"/>
        <v>3.647114794071004E-2</v>
      </c>
      <c r="AA6" s="15">
        <v>7.0000000000000007E-2</v>
      </c>
      <c r="AB6" s="13">
        <f>VLOOKUP(B6,'[2]1773735559_4e7bc90ec61444bfa761'!$B:$E,4,0)</f>
        <v>1849</v>
      </c>
      <c r="AC6" s="13">
        <f>VLOOKUP(B6,'[2]1773735559_4e7bc90ec61444bfa761'!$B:$D,3,0)</f>
        <v>1849</v>
      </c>
    </row>
    <row r="7" spans="1:34" x14ac:dyDescent="0.25">
      <c r="A7" s="10">
        <v>0.7</v>
      </c>
      <c r="B7" s="11">
        <v>10229357</v>
      </c>
      <c r="C7" s="11" t="s">
        <v>46</v>
      </c>
      <c r="D7" s="10" t="s">
        <v>47</v>
      </c>
      <c r="E7" s="11" t="s">
        <v>29</v>
      </c>
      <c r="F7" s="11" t="s">
        <v>48</v>
      </c>
      <c r="G7" s="11" t="s">
        <v>41</v>
      </c>
      <c r="H7" s="10" t="s">
        <v>149</v>
      </c>
      <c r="I7" s="10" t="s">
        <v>49</v>
      </c>
      <c r="J7" s="10" t="s">
        <v>153</v>
      </c>
      <c r="K7" s="13">
        <f>VLOOKUP(D7,'[1]Amazon Live Products'!F:P,11,0)</f>
        <v>547.53599999999994</v>
      </c>
      <c r="L7" s="13">
        <f>VLOOKUP(D7,'[1]Amazon Live Products'!F:Q,12,0)</f>
        <v>646.09247999999991</v>
      </c>
      <c r="M7" s="13">
        <f>AB7*10%</f>
        <v>149.80000000000001</v>
      </c>
      <c r="N7" s="14">
        <f t="shared" si="15"/>
        <v>74.900000000000006</v>
      </c>
      <c r="O7" s="13">
        <v>50</v>
      </c>
      <c r="P7" s="13">
        <f>AB7*4%</f>
        <v>59.92</v>
      </c>
      <c r="Q7" s="13">
        <v>67.5</v>
      </c>
      <c r="R7" s="13">
        <v>112.5</v>
      </c>
      <c r="S7" s="13">
        <f t="shared" si="1"/>
        <v>10.5</v>
      </c>
      <c r="T7" s="13">
        <v>5</v>
      </c>
      <c r="U7" s="13">
        <f>AB7*5%</f>
        <v>74.900000000000006</v>
      </c>
      <c r="V7" s="13">
        <f>AB7*3%</f>
        <v>44.94</v>
      </c>
      <c r="W7" s="13">
        <f>AB7-(AB7/1.18)</f>
        <v>228.50847457627106</v>
      </c>
      <c r="X7" s="13">
        <f>K7+M7+N7+O7+P7+Q7+S7+T7+U7+V7+W7</f>
        <v>1313.5044745762711</v>
      </c>
      <c r="Y7" s="13">
        <f t="shared" si="13"/>
        <v>184.49552542372885</v>
      </c>
      <c r="Z7" s="15">
        <f t="shared" si="14"/>
        <v>0.12316123192505264</v>
      </c>
      <c r="AA7" s="15">
        <v>0.05</v>
      </c>
      <c r="AB7" s="13">
        <f>VLOOKUP(B7,'[2]1773735559_4e7bc90ec61444bfa761'!$B:$E,4,0)</f>
        <v>1498</v>
      </c>
      <c r="AC7" s="13">
        <f>VLOOKUP(B7,'[2]1773735559_4e7bc90ec61444bfa761'!$B:$D,3,0)</f>
        <v>1498</v>
      </c>
      <c r="AD7" s="3"/>
    </row>
    <row r="8" spans="1:34" x14ac:dyDescent="0.25">
      <c r="A8" s="10">
        <v>0.25</v>
      </c>
      <c r="B8" s="11">
        <v>10222298</v>
      </c>
      <c r="C8" s="11" t="s">
        <v>50</v>
      </c>
      <c r="D8" s="10" t="s">
        <v>51</v>
      </c>
      <c r="E8" s="11" t="s">
        <v>29</v>
      </c>
      <c r="F8" s="11" t="s">
        <v>52</v>
      </c>
      <c r="G8" s="11" t="s">
        <v>41</v>
      </c>
      <c r="H8" s="10" t="s">
        <v>146</v>
      </c>
      <c r="I8" s="10" t="s">
        <v>33</v>
      </c>
      <c r="J8" s="10" t="s">
        <v>154</v>
      </c>
      <c r="K8" s="13">
        <f>VLOOKUP(D8,'[1]Amazon Live Products'!F:P,11,0)</f>
        <v>372.32447999999999</v>
      </c>
      <c r="L8" s="13">
        <f>VLOOKUP(D8,'[1]Amazon Live Products'!F:Q,12,0)</f>
        <v>439.3428864</v>
      </c>
      <c r="M8" s="13">
        <f t="shared" ref="M8:M11" si="16">AB8*10%</f>
        <v>74.900000000000006</v>
      </c>
      <c r="N8" s="14">
        <f>IF(AB8&lt;=1200, AB8*2%,
   IF(AB8&lt;=1500, AB8*5%,
      IF(AB8&lt;=2000, AB8*7%,
         IF(AB8&lt;=3000, AB8*9%,
            IF(AB8&gt;3000, AB8*11%, 0)
         )
      )
   )
)</f>
        <v>14.98</v>
      </c>
      <c r="O8" s="13">
        <v>50</v>
      </c>
      <c r="P8" s="13">
        <f t="shared" ref="P8:P11" si="17">AB8*4%</f>
        <v>29.96</v>
      </c>
      <c r="Q8" s="13">
        <v>67.5</v>
      </c>
      <c r="R8" s="13">
        <v>112.5</v>
      </c>
      <c r="S8" s="13">
        <f t="shared" si="1"/>
        <v>3.75</v>
      </c>
      <c r="T8" s="13">
        <v>5</v>
      </c>
      <c r="U8" s="13">
        <f t="shared" ref="U8:U11" si="18">AB8*5%</f>
        <v>37.450000000000003</v>
      </c>
      <c r="V8" s="13">
        <f t="shared" ref="V8:V11" si="19">AB8*3%</f>
        <v>22.47</v>
      </c>
      <c r="W8" s="13">
        <f t="shared" ref="W8:W11" si="20">AB8-(AB8/1.18)</f>
        <v>114.25423728813553</v>
      </c>
      <c r="X8" s="13">
        <f t="shared" ref="X8:X11" si="21">K8+M8+N8+O8+P8+Q8+S8+T8+U8+V8+W8</f>
        <v>792.58871728813563</v>
      </c>
      <c r="Y8" s="13">
        <f>AB8-X8</f>
        <v>-43.588717288135626</v>
      </c>
      <c r="Z8" s="15">
        <f>Y8/AB8</f>
        <v>-5.8195884229820596E-2</v>
      </c>
      <c r="AA8" s="15">
        <v>0.02</v>
      </c>
      <c r="AB8" s="13">
        <f>VLOOKUP(B8,'[2]1773735559_4e7bc90ec61444bfa761'!$B:$E,4,0)</f>
        <v>749</v>
      </c>
      <c r="AC8" s="13">
        <f>VLOOKUP(B8,'[2]1773735559_4e7bc90ec61444bfa761'!$B:$D,3,0)</f>
        <v>899</v>
      </c>
    </row>
    <row r="9" spans="1:34" x14ac:dyDescent="0.25">
      <c r="A9" s="10">
        <v>0.3</v>
      </c>
      <c r="B9" s="11">
        <v>10225457</v>
      </c>
      <c r="C9" s="11" t="s">
        <v>53</v>
      </c>
      <c r="D9" s="10" t="s">
        <v>54</v>
      </c>
      <c r="E9" s="11" t="s">
        <v>29</v>
      </c>
      <c r="F9" s="11" t="s">
        <v>59</v>
      </c>
      <c r="G9" s="11" t="s">
        <v>41</v>
      </c>
      <c r="H9" s="10" t="s">
        <v>149</v>
      </c>
      <c r="I9" s="10" t="s">
        <v>49</v>
      </c>
      <c r="J9" s="10" t="s">
        <v>155</v>
      </c>
      <c r="K9" s="13">
        <f>VLOOKUP(D9,'[1]Amazon Live Products'!F:P,11,0)</f>
        <v>448.35120000000001</v>
      </c>
      <c r="L9" s="13">
        <f>VLOOKUP(D9,'[1]Amazon Live Products'!F:Q,12,0)</f>
        <v>529.05441599999995</v>
      </c>
      <c r="M9" s="13">
        <f t="shared" si="16"/>
        <v>99.9</v>
      </c>
      <c r="N9" s="14">
        <v>19.98</v>
      </c>
      <c r="O9" s="13">
        <v>50</v>
      </c>
      <c r="P9" s="13">
        <f t="shared" si="17"/>
        <v>39.96</v>
      </c>
      <c r="Q9" s="13">
        <v>67.5</v>
      </c>
      <c r="R9" s="13">
        <v>112.5</v>
      </c>
      <c r="S9" s="13">
        <f t="shared" si="1"/>
        <v>4.5</v>
      </c>
      <c r="T9" s="13">
        <v>5</v>
      </c>
      <c r="U9" s="13">
        <f t="shared" si="18"/>
        <v>49.95</v>
      </c>
      <c r="V9" s="13">
        <f t="shared" si="19"/>
        <v>29.97</v>
      </c>
      <c r="W9" s="13">
        <f t="shared" si="20"/>
        <v>152.38983050847457</v>
      </c>
      <c r="X9" s="13">
        <f t="shared" si="21"/>
        <v>967.50103050847474</v>
      </c>
      <c r="Y9" s="13">
        <f>AB9-X9</f>
        <v>31.498969491525258</v>
      </c>
      <c r="Z9" s="15">
        <f>Y9/AB9</f>
        <v>3.1530499991516775E-2</v>
      </c>
      <c r="AA9" s="15">
        <v>0.02</v>
      </c>
      <c r="AB9" s="13">
        <f>VLOOKUP(B9,'[2]1773735559_4e7bc90ec61444bfa761'!$B:$E,4,0)</f>
        <v>999</v>
      </c>
      <c r="AC9" s="13">
        <f>VLOOKUP(B9,'[2]1773735559_4e7bc90ec61444bfa761'!$B:$D,3,0)</f>
        <v>999</v>
      </c>
    </row>
    <row r="10" spans="1:34" x14ac:dyDescent="0.25">
      <c r="A10" s="10">
        <v>0.28399999999999997</v>
      </c>
      <c r="B10" s="11">
        <v>10253018</v>
      </c>
      <c r="C10" s="11" t="s">
        <v>55</v>
      </c>
      <c r="D10" s="10" t="s">
        <v>56</v>
      </c>
      <c r="E10" s="11" t="s">
        <v>29</v>
      </c>
      <c r="F10" s="11" t="s">
        <v>60</v>
      </c>
      <c r="G10" s="11" t="s">
        <v>31</v>
      </c>
      <c r="H10" s="10" t="s">
        <v>149</v>
      </c>
      <c r="I10" s="10" t="s">
        <v>49</v>
      </c>
      <c r="J10" s="10" t="s">
        <v>156</v>
      </c>
      <c r="K10" s="13">
        <f>VLOOKUP(D10,'[1]Amazon Live Products'!F:P,11,0)</f>
        <v>597.80160000000001</v>
      </c>
      <c r="L10" s="13">
        <f>VLOOKUP(D10,'[1]Amazon Live Products'!F:Q,12,0)</f>
        <v>705.405888</v>
      </c>
      <c r="M10" s="13">
        <f t="shared" si="16"/>
        <v>139.9</v>
      </c>
      <c r="N10" s="14">
        <f>IF(AB10&lt;=300, AB10*2%,
   IF(AB10&lt;=400, AB10*4%,
      IF(AB10&lt;=500, AB10*6%,
         IF(AB10&lt;=700, AB10*10%, IF(AB10&lt;=900, AB10*17%, IF(AB10&lt;=1200, AB10*20%,
            IF(AB10&gt;1200, AB10*25%, 0)
         )
      )
   )
)))</f>
        <v>349.75</v>
      </c>
      <c r="O10" s="13">
        <v>50</v>
      </c>
      <c r="P10" s="13">
        <f t="shared" si="17"/>
        <v>55.96</v>
      </c>
      <c r="Q10" s="13">
        <v>67.5</v>
      </c>
      <c r="R10" s="13">
        <v>112.5</v>
      </c>
      <c r="S10" s="13">
        <f t="shared" si="1"/>
        <v>4.26</v>
      </c>
      <c r="T10" s="13">
        <v>5</v>
      </c>
      <c r="U10" s="13">
        <f t="shared" si="18"/>
        <v>69.95</v>
      </c>
      <c r="V10" s="13">
        <f t="shared" si="19"/>
        <v>41.97</v>
      </c>
      <c r="W10" s="13">
        <f t="shared" si="20"/>
        <v>213.4067796610168</v>
      </c>
      <c r="X10" s="13">
        <f t="shared" si="21"/>
        <v>1595.4983796610168</v>
      </c>
      <c r="Y10" s="13">
        <f>AB10-X10</f>
        <v>-196.49837966101677</v>
      </c>
      <c r="Z10" s="15">
        <f>Y10/AB10</f>
        <v>-0.14045631140887546</v>
      </c>
      <c r="AA10" s="15">
        <v>0.25</v>
      </c>
      <c r="AB10" s="13">
        <f>VLOOKUP(B10,'[2]1773735559_4e7bc90ec61444bfa761'!$B:$E,4,0)</f>
        <v>1399</v>
      </c>
      <c r="AC10" s="13">
        <f>VLOOKUP(B10,'[2]1773735559_4e7bc90ec61444bfa761'!$B:$D,3,0)</f>
        <v>1499</v>
      </c>
    </row>
    <row r="11" spans="1:34" x14ac:dyDescent="0.25">
      <c r="A11" s="10">
        <v>0.2</v>
      </c>
      <c r="B11" s="11">
        <v>10246003</v>
      </c>
      <c r="C11" s="11" t="s">
        <v>57</v>
      </c>
      <c r="D11" s="10" t="s">
        <v>58</v>
      </c>
      <c r="E11" s="11" t="s">
        <v>29</v>
      </c>
      <c r="F11" s="11" t="s">
        <v>61</v>
      </c>
      <c r="G11" s="11" t="s">
        <v>31</v>
      </c>
      <c r="H11" s="10" t="s">
        <v>149</v>
      </c>
      <c r="I11" s="10" t="s">
        <v>62</v>
      </c>
      <c r="J11" s="10" t="s">
        <v>157</v>
      </c>
      <c r="K11" s="13">
        <f>VLOOKUP(D11,'[1]Amazon Live Products'!F:P,11,0)</f>
        <v>338.37724799999995</v>
      </c>
      <c r="L11" s="13">
        <f>VLOOKUP(D11,'[1]Amazon Live Products'!F:Q,12,0)</f>
        <v>399.28515263999992</v>
      </c>
      <c r="M11" s="13">
        <f t="shared" si="16"/>
        <v>74.900000000000006</v>
      </c>
      <c r="N11" s="14">
        <f>IF(AB11&lt;=1200,AB11*2%,
IF(AB11&lt;=1500,AB11*5%,
IF(AB11&lt;=2000,AB11*7%,IF(AB11&lt;=3000,AB11*9%,
IF(AB11&gt;3000,AB11*11%,0)
)
)
))</f>
        <v>14.98</v>
      </c>
      <c r="O11" s="13">
        <v>50</v>
      </c>
      <c r="P11" s="13">
        <f t="shared" si="17"/>
        <v>29.96</v>
      </c>
      <c r="Q11" s="13">
        <v>67.5</v>
      </c>
      <c r="R11" s="13">
        <v>112.5</v>
      </c>
      <c r="S11" s="13">
        <f t="shared" si="1"/>
        <v>3</v>
      </c>
      <c r="T11" s="13">
        <v>5</v>
      </c>
      <c r="U11" s="13">
        <f t="shared" si="18"/>
        <v>37.450000000000003</v>
      </c>
      <c r="V11" s="13">
        <f t="shared" si="19"/>
        <v>22.47</v>
      </c>
      <c r="W11" s="13">
        <f t="shared" si="20"/>
        <v>114.25423728813553</v>
      </c>
      <c r="X11" s="13">
        <f t="shared" si="21"/>
        <v>757.89148528813553</v>
      </c>
      <c r="Y11" s="13">
        <f>AB11-X11</f>
        <v>-8.8914852881355273</v>
      </c>
      <c r="Z11" s="15">
        <f>Y11/AB11</f>
        <v>-1.1871141906723E-2</v>
      </c>
      <c r="AA11" s="15">
        <v>0.02</v>
      </c>
      <c r="AB11" s="13">
        <f>VLOOKUP(B11,'[2]1773735559_4e7bc90ec61444bfa761'!$B:$E,4,0)</f>
        <v>749</v>
      </c>
      <c r="AC11" s="13">
        <f>VLOOKUP(B11,'[2]1773735559_4e7bc90ec61444bfa761'!$B:$D,3,0)</f>
        <v>749</v>
      </c>
      <c r="AD11" s="3"/>
    </row>
    <row r="12" spans="1:34" x14ac:dyDescent="0.25">
      <c r="A12" s="10">
        <v>0.17599999999999999</v>
      </c>
      <c r="B12" s="11">
        <v>10245034</v>
      </c>
      <c r="C12" s="11" t="s">
        <v>63</v>
      </c>
      <c r="D12" s="10" t="s">
        <v>64</v>
      </c>
      <c r="E12" s="11" t="s">
        <v>29</v>
      </c>
      <c r="F12" s="11" t="s">
        <v>65</v>
      </c>
      <c r="G12" s="11" t="s">
        <v>31</v>
      </c>
      <c r="H12" s="10" t="s">
        <v>149</v>
      </c>
      <c r="I12" s="10" t="s">
        <v>49</v>
      </c>
      <c r="J12" s="10" t="s">
        <v>158</v>
      </c>
      <c r="K12" s="13">
        <f>VLOOKUP(D12,'[1]Amazon Live Products'!F:P,11,0)</f>
        <v>597.80160000000001</v>
      </c>
      <c r="L12" s="13">
        <f>VLOOKUP(D12,'[1]Amazon Live Products'!F:Q,12,0)</f>
        <v>705.405888</v>
      </c>
      <c r="M12" s="13">
        <f t="shared" ref="M12" si="22">AB12*10%</f>
        <v>109.9</v>
      </c>
      <c r="N12" s="14">
        <f>IF(AB12&lt;=300, AB12*2%,
   IF(AB12&lt;=400, AB12*4%,
      IF(AB12&lt;=500, AB12*6%,
         IF(AB12&lt;=700, AB12*10%, IF(AB12&lt;=900, AB12*17%, IF(AB12&lt;=1200, AB12*20%,
            IF(AB12&gt;1200, AB12*25%, 0)
         )
      )
   )
)))</f>
        <v>219.8</v>
      </c>
      <c r="O12" s="13">
        <v>50</v>
      </c>
      <c r="P12" s="13">
        <f t="shared" ref="P12" si="23">AB12*4%</f>
        <v>43.96</v>
      </c>
      <c r="Q12" s="13">
        <v>67.5</v>
      </c>
      <c r="R12" s="13">
        <v>112.5</v>
      </c>
      <c r="S12" s="13">
        <f t="shared" si="1"/>
        <v>2.6399999999999997</v>
      </c>
      <c r="T12" s="13">
        <v>5</v>
      </c>
      <c r="U12" s="13">
        <f t="shared" ref="U12" si="24">AB12*5%</f>
        <v>54.95</v>
      </c>
      <c r="V12" s="13">
        <f t="shared" ref="V12" si="25">AB12*3%</f>
        <v>32.97</v>
      </c>
      <c r="W12" s="13">
        <f t="shared" ref="W12" si="26">AB12-(AB12/1.18)</f>
        <v>167.6440677966101</v>
      </c>
      <c r="X12" s="13">
        <f t="shared" ref="X12" si="27">K12+M12+N12+O12+P12+Q12+S12+T12+U12+V12+W12</f>
        <v>1352.1656677966103</v>
      </c>
      <c r="Y12" s="13">
        <f>AB12-X12</f>
        <v>-253.16566779661025</v>
      </c>
      <c r="Z12" s="15">
        <f>Y12/AB12</f>
        <v>-0.23036002529263899</v>
      </c>
      <c r="AA12" s="15">
        <v>0.2</v>
      </c>
      <c r="AB12" s="13">
        <f>VLOOKUP(B12,'[2]1773735559_4e7bc90ec61444bfa761'!$B:$E,4,0)</f>
        <v>1099</v>
      </c>
      <c r="AC12" s="13">
        <f>VLOOKUP(B12,'[2]1773735559_4e7bc90ec61444bfa761'!$B:$D,3,0)</f>
        <v>1099</v>
      </c>
    </row>
    <row r="13" spans="1:34" x14ac:dyDescent="0.25">
      <c r="A13" s="10">
        <v>0.85</v>
      </c>
      <c r="B13" s="11">
        <v>10229879</v>
      </c>
      <c r="C13" s="11" t="s">
        <v>66</v>
      </c>
      <c r="D13" s="10" t="s">
        <v>67</v>
      </c>
      <c r="E13" s="11" t="s">
        <v>29</v>
      </c>
      <c r="F13" s="11" t="s">
        <v>68</v>
      </c>
      <c r="G13" s="11" t="s">
        <v>41</v>
      </c>
      <c r="H13" s="10" t="s">
        <v>149</v>
      </c>
      <c r="I13" s="10" t="s">
        <v>69</v>
      </c>
      <c r="J13" s="10" t="s">
        <v>159</v>
      </c>
      <c r="K13" s="13">
        <f>VLOOKUP(D13,'[1]Amazon Live Products'!F:P,11,0)</f>
        <v>728.22288000000015</v>
      </c>
      <c r="L13" s="13">
        <f>VLOOKUP(D13,'[1]Amazon Live Products'!F:Q,12,0)</f>
        <v>859.30299840000009</v>
      </c>
      <c r="M13" s="13">
        <f t="shared" ref="M13:M14" si="28">AB13*10%</f>
        <v>169.8</v>
      </c>
      <c r="N13" s="14">
        <f t="shared" ref="N13:N14" si="29">IF(AB13&lt;=1200, AB13*2%,
   IF(AB13&lt;=1500, AB13*5%,
      IF(AB13&lt;=2000, AB13*7%,
         IF(AB13&lt;=3000, AB13*9%,
            IF(AB13&gt;3000, AB13*11%, 0)
         )
      )
   )
)</f>
        <v>118.86000000000001</v>
      </c>
      <c r="O13" s="13">
        <v>50</v>
      </c>
      <c r="P13" s="13">
        <f t="shared" ref="P13:P14" si="30">AB13*4%</f>
        <v>67.92</v>
      </c>
      <c r="Q13" s="13">
        <v>96.61</v>
      </c>
      <c r="R13" s="13">
        <v>147.87</v>
      </c>
      <c r="S13" s="13">
        <f t="shared" si="1"/>
        <v>12.75</v>
      </c>
      <c r="T13" s="13">
        <v>5</v>
      </c>
      <c r="U13" s="13">
        <f t="shared" ref="U13:U14" si="31">AB13*5%</f>
        <v>84.9</v>
      </c>
      <c r="V13" s="13">
        <f t="shared" ref="V13:V14" si="32">AB13*3%</f>
        <v>50.94</v>
      </c>
      <c r="W13" s="13">
        <f t="shared" ref="W13:W14" si="33">AB13-(AB13/1.18)</f>
        <v>259.01694915254234</v>
      </c>
      <c r="X13" s="13">
        <f t="shared" ref="X13:X14" si="34">K13+M13+N13+O13+P13+Q13+S13+T13+U13+V13+W13</f>
        <v>1644.0198291525426</v>
      </c>
      <c r="Y13" s="13">
        <f t="shared" ref="Y13:Y14" si="35">AB13-X13</f>
        <v>53.98017084745743</v>
      </c>
      <c r="Z13" s="15">
        <f t="shared" ref="Z13:Z14" si="36">Y13/AB13</f>
        <v>3.1790442195204612E-2</v>
      </c>
      <c r="AA13" s="15">
        <v>7.0000000000000007E-2</v>
      </c>
      <c r="AB13" s="13">
        <f>VLOOKUP(B13,'[2]1773735559_4e7bc90ec61444bfa761'!$B:$E,4,0)</f>
        <v>1698</v>
      </c>
      <c r="AC13" s="13">
        <f>VLOOKUP(B13,'[2]1773735559_4e7bc90ec61444bfa761'!$B:$D,3,0)</f>
        <v>1698</v>
      </c>
      <c r="AD13" s="3"/>
      <c r="AH13" s="1"/>
    </row>
    <row r="14" spans="1:34" x14ac:dyDescent="0.25">
      <c r="A14" s="10">
        <v>0.3</v>
      </c>
      <c r="B14" s="11">
        <v>10245186</v>
      </c>
      <c r="C14" s="11" t="s">
        <v>70</v>
      </c>
      <c r="D14" s="10" t="s">
        <v>71</v>
      </c>
      <c r="E14" s="11" t="s">
        <v>29</v>
      </c>
      <c r="F14" s="11" t="s">
        <v>72</v>
      </c>
      <c r="G14" s="11" t="s">
        <v>31</v>
      </c>
      <c r="H14" s="10" t="s">
        <v>149</v>
      </c>
      <c r="I14" s="10" t="s">
        <v>49</v>
      </c>
      <c r="J14" s="10" t="s">
        <v>160</v>
      </c>
      <c r="K14" s="13">
        <f>VLOOKUP(D14,'[1]Amazon Live Products'!F:P,11,0)</f>
        <v>809.25820799999997</v>
      </c>
      <c r="L14" s="13">
        <f>VLOOKUP(D14,'[1]Amazon Live Products'!F:Q,12,0)</f>
        <v>954.92468543999996</v>
      </c>
      <c r="M14" s="13">
        <f t="shared" si="28"/>
        <v>244.9</v>
      </c>
      <c r="N14" s="14">
        <f t="shared" si="29"/>
        <v>220.41</v>
      </c>
      <c r="O14" s="13">
        <v>50</v>
      </c>
      <c r="P14" s="13">
        <f t="shared" si="30"/>
        <v>97.960000000000008</v>
      </c>
      <c r="Q14" s="13">
        <v>67.5</v>
      </c>
      <c r="R14" s="13">
        <v>112.5</v>
      </c>
      <c r="S14" s="13">
        <f t="shared" si="1"/>
        <v>4.5</v>
      </c>
      <c r="T14" s="13">
        <v>5</v>
      </c>
      <c r="U14" s="13">
        <f t="shared" si="31"/>
        <v>122.45</v>
      </c>
      <c r="V14" s="13">
        <f t="shared" si="32"/>
        <v>73.47</v>
      </c>
      <c r="W14" s="13">
        <f t="shared" si="33"/>
        <v>373.57627118644041</v>
      </c>
      <c r="X14" s="13">
        <f t="shared" si="34"/>
        <v>2069.0244791864407</v>
      </c>
      <c r="Y14" s="13">
        <f t="shared" si="35"/>
        <v>379.97552081355934</v>
      </c>
      <c r="Z14" s="15">
        <f t="shared" si="36"/>
        <v>0.15515537803738641</v>
      </c>
      <c r="AA14" s="15">
        <v>0.09</v>
      </c>
      <c r="AB14" s="13">
        <f>VLOOKUP(B14,'[2]1773735559_4e7bc90ec61444bfa761'!$B:$E,4,0)</f>
        <v>2449</v>
      </c>
      <c r="AC14" s="13">
        <f>VLOOKUP(B14,'[2]1773735559_4e7bc90ec61444bfa761'!$B:$D,3,0)</f>
        <v>2449</v>
      </c>
      <c r="AD14" s="3"/>
    </row>
    <row r="15" spans="1:34" x14ac:dyDescent="0.25">
      <c r="A15" s="10">
        <v>1.75</v>
      </c>
      <c r="B15" s="11">
        <v>10245477</v>
      </c>
      <c r="C15" s="11" t="s">
        <v>73</v>
      </c>
      <c r="D15" s="10" t="s">
        <v>74</v>
      </c>
      <c r="E15" s="11" t="s">
        <v>29</v>
      </c>
      <c r="F15" s="11" t="s">
        <v>75</v>
      </c>
      <c r="G15" s="11" t="s">
        <v>31</v>
      </c>
      <c r="H15" s="10" t="s">
        <v>146</v>
      </c>
      <c r="I15" s="10" t="s">
        <v>34</v>
      </c>
      <c r="J15" s="10" t="s">
        <v>161</v>
      </c>
      <c r="K15" s="13">
        <f>VLOOKUP(D15,'[1]Amazon Live Products'!F:P,11,0)</f>
        <v>826.95888000000014</v>
      </c>
      <c r="L15" s="13">
        <f>VLOOKUP(D15,'[1]Amazon Live Products'!F:Q,12,0)</f>
        <v>975.81147840000006</v>
      </c>
      <c r="M15" s="13">
        <f>AB15*10%</f>
        <v>199.9</v>
      </c>
      <c r="N15" s="13">
        <f>AB15*2%</f>
        <v>39.980000000000004</v>
      </c>
      <c r="O15" s="13">
        <v>50</v>
      </c>
      <c r="P15" s="13">
        <f>AB15*4%</f>
        <v>79.960000000000008</v>
      </c>
      <c r="Q15" s="13">
        <v>181.02</v>
      </c>
      <c r="R15" s="13">
        <v>277.08</v>
      </c>
      <c r="S15" s="13">
        <f t="shared" si="1"/>
        <v>26.25</v>
      </c>
      <c r="T15" s="13">
        <v>5</v>
      </c>
      <c r="U15" s="13">
        <f>AB15*5%</f>
        <v>99.95</v>
      </c>
      <c r="V15" s="13">
        <f>AB15*3%</f>
        <v>59.97</v>
      </c>
      <c r="W15" s="13">
        <f>AB15-(AB15/1.18)</f>
        <v>304.93220338983042</v>
      </c>
      <c r="X15" s="13">
        <f>K15+M15+N15+O15+P15+Q15+S15+T15+U15+V15+W15</f>
        <v>1873.9210833898308</v>
      </c>
      <c r="Y15" s="13">
        <f>AB15-X15</f>
        <v>125.07891661016924</v>
      </c>
      <c r="Z15" s="15">
        <f>Y15/AB15</f>
        <v>6.2570743676923085E-2</v>
      </c>
      <c r="AA15" s="15">
        <v>0.02</v>
      </c>
      <c r="AB15" s="13">
        <f>VLOOKUP(B15,'[2]1773735559_4e7bc90ec61444bfa761'!$B:$E,4,0)</f>
        <v>1999</v>
      </c>
      <c r="AC15" s="13">
        <f>VLOOKUP(B15,'[2]1773735559_4e7bc90ec61444bfa761'!$B:$D,3,0)</f>
        <v>2099</v>
      </c>
      <c r="AD15" s="3"/>
    </row>
    <row r="16" spans="1:34" x14ac:dyDescent="0.25">
      <c r="A16" s="10">
        <v>0.3</v>
      </c>
      <c r="B16" s="11">
        <v>10235853</v>
      </c>
      <c r="C16" s="11" t="s">
        <v>76</v>
      </c>
      <c r="D16" s="10" t="s">
        <v>77</v>
      </c>
      <c r="E16" s="11" t="s">
        <v>29</v>
      </c>
      <c r="F16" s="11" t="s">
        <v>78</v>
      </c>
      <c r="G16" s="11" t="s">
        <v>41</v>
      </c>
      <c r="H16" s="10" t="s">
        <v>149</v>
      </c>
      <c r="I16" s="10" t="s">
        <v>79</v>
      </c>
      <c r="J16" s="10" t="s">
        <v>162</v>
      </c>
      <c r="K16" s="13">
        <f>VLOOKUP(D16,'[1]Amazon Live Products'!F:P,11,0)</f>
        <v>468.27792000000011</v>
      </c>
      <c r="L16" s="13">
        <f>VLOOKUP(D16,'[1]Amazon Live Products'!F:Q,12,0)</f>
        <v>524.47127040000021</v>
      </c>
      <c r="M16" s="13">
        <f t="shared" ref="M16" si="37">AB16*10%</f>
        <v>134.9</v>
      </c>
      <c r="N16" s="14">
        <f t="shared" ref="N16" si="38">IF(AB16&lt;=1200, AB16*2%,
   IF(AB16&lt;=1500, AB16*5%,
      IF(AB16&lt;=2000, AB16*7%,
         IF(AB16&lt;=3000, AB16*9%,
            IF(AB16&gt;3000, AB16*11%, 0)
         )
      )
   )
)</f>
        <v>67.45</v>
      </c>
      <c r="O16" s="13">
        <v>50</v>
      </c>
      <c r="P16" s="13">
        <f t="shared" ref="P16" si="39">AB16*4%</f>
        <v>53.96</v>
      </c>
      <c r="Q16" s="13">
        <v>67.5</v>
      </c>
      <c r="R16" s="13">
        <v>112.5</v>
      </c>
      <c r="S16" s="13">
        <f t="shared" si="1"/>
        <v>4.5</v>
      </c>
      <c r="T16" s="13">
        <v>5</v>
      </c>
      <c r="U16" s="13">
        <f t="shared" ref="U16" si="40">AB16*5%</f>
        <v>67.45</v>
      </c>
      <c r="V16" s="13">
        <f t="shared" ref="V16" si="41">AB16*3%</f>
        <v>40.47</v>
      </c>
      <c r="W16" s="13">
        <f t="shared" ref="W16" si="42">AB16-(AB16/1.18)</f>
        <v>205.77966101694915</v>
      </c>
      <c r="X16" s="13">
        <f t="shared" ref="X16" si="43">K16+M16+N16+O16+P16+Q16+S16+T16+U16+V16+W16</f>
        <v>1165.2875810169494</v>
      </c>
      <c r="Y16" s="13">
        <f>AB16-X16</f>
        <v>183.71241898305061</v>
      </c>
      <c r="Z16" s="15">
        <f>Y16/AB16</f>
        <v>0.13618415046927398</v>
      </c>
      <c r="AA16" s="15">
        <v>0.05</v>
      </c>
      <c r="AB16" s="13">
        <f>VLOOKUP(B16,'[2]1773735559_4e7bc90ec61444bfa761'!$B:$E,4,0)</f>
        <v>1349</v>
      </c>
      <c r="AC16" s="13">
        <f>VLOOKUP(B16,'[2]1773735559_4e7bc90ec61444bfa761'!$B:$D,3,0)</f>
        <v>1499</v>
      </c>
      <c r="AD16" s="3"/>
    </row>
    <row r="17" spans="1:30" x14ac:dyDescent="0.25">
      <c r="A17" s="10">
        <v>0.255</v>
      </c>
      <c r="B17" s="11">
        <v>10254809</v>
      </c>
      <c r="C17" s="11" t="s">
        <v>80</v>
      </c>
      <c r="D17" s="10" t="s">
        <v>81</v>
      </c>
      <c r="E17" s="11" t="s">
        <v>29</v>
      </c>
      <c r="F17" s="11" t="s">
        <v>82</v>
      </c>
      <c r="G17" s="11" t="s">
        <v>31</v>
      </c>
      <c r="H17" s="10" t="s">
        <v>149</v>
      </c>
      <c r="I17" s="10" t="s">
        <v>42</v>
      </c>
      <c r="J17" s="10" t="s">
        <v>164</v>
      </c>
      <c r="K17" s="13">
        <f>VLOOKUP(D17,'[1]Amazon Live Products'!F:P,11,0)</f>
        <v>405.17664000000002</v>
      </c>
      <c r="L17" s="13">
        <f>VLOOKUP(D17,'[1]Amazon Live Products'!F:Q,12,0)</f>
        <v>478.10843519999997</v>
      </c>
      <c r="M17" s="13">
        <f>AB17*10%</f>
        <v>69.900000000000006</v>
      </c>
      <c r="N17" s="14">
        <f>IF(AB17&lt;=1200, AB17*2%,
   IF(AB17&lt;=1500, AB17*5%,
      IF(AB17&lt;=2000, AB17*7%,
         IF(AB17&lt;=3000, AB17*9%,
            IF(AB17&gt;3000, AB17*11%, 0)
         )
      )
   )
)</f>
        <v>13.98</v>
      </c>
      <c r="O17" s="13">
        <v>50</v>
      </c>
      <c r="P17" s="13">
        <f>AB17*4%</f>
        <v>27.96</v>
      </c>
      <c r="Q17" s="13">
        <v>67.5</v>
      </c>
      <c r="R17" s="13">
        <v>112.5</v>
      </c>
      <c r="S17" s="13">
        <f t="shared" si="1"/>
        <v>3.8250000000000002</v>
      </c>
      <c r="T17" s="13">
        <v>5</v>
      </c>
      <c r="U17" s="13">
        <f>AB17*5%</f>
        <v>34.950000000000003</v>
      </c>
      <c r="V17" s="13">
        <f>AB17*3%</f>
        <v>20.97</v>
      </c>
      <c r="W17" s="13">
        <f>AB17-(AB17/1.18)</f>
        <v>106.62711864406776</v>
      </c>
      <c r="X17" s="13">
        <f>K17+M17+N17+O17+P17+Q17+S17+T17+U17+V17+W17</f>
        <v>805.88875864406793</v>
      </c>
      <c r="Y17" s="13">
        <f>AB17-X17</f>
        <v>-106.88875864406793</v>
      </c>
      <c r="Z17" s="15">
        <f>Y17/AB17</f>
        <v>-0.15291667903300132</v>
      </c>
      <c r="AA17" s="15">
        <v>0.02</v>
      </c>
      <c r="AB17" s="13">
        <f>VLOOKUP(B17,'[2]1773735559_4e7bc90ec61444bfa761'!$B:$E,4,0)</f>
        <v>699</v>
      </c>
      <c r="AC17" s="13">
        <f>VLOOKUP(B17,'[2]1773735559_4e7bc90ec61444bfa761'!$B:$D,3,0)</f>
        <v>799</v>
      </c>
    </row>
    <row r="18" spans="1:30" x14ac:dyDescent="0.25">
      <c r="A18" s="10">
        <v>0.7</v>
      </c>
      <c r="B18" s="11">
        <v>10245277</v>
      </c>
      <c r="C18" s="11" t="s">
        <v>83</v>
      </c>
      <c r="D18" s="10" t="s">
        <v>84</v>
      </c>
      <c r="E18" s="11" t="s">
        <v>29</v>
      </c>
      <c r="F18" s="11" t="s">
        <v>85</v>
      </c>
      <c r="G18" s="11" t="s">
        <v>31</v>
      </c>
      <c r="H18" s="10" t="s">
        <v>163</v>
      </c>
      <c r="I18" s="10" t="s">
        <v>86</v>
      </c>
      <c r="J18" s="10" t="s">
        <v>165</v>
      </c>
      <c r="K18" s="13">
        <f>VLOOKUP(D18,'[1]Amazon Live Products'!F:P,11,0)</f>
        <v>680.15639999999996</v>
      </c>
      <c r="L18" s="13">
        <f>VLOOKUP(D18,'[1]Amazon Live Products'!F:Q,12,0)</f>
        <v>802.58455199999992</v>
      </c>
      <c r="M18" s="13">
        <f t="shared" ref="M18" si="44">AB18*10%</f>
        <v>149.9</v>
      </c>
      <c r="N18" s="14">
        <f t="shared" ref="N18" si="45">IF(AB18&lt;=300, AB18*2%,
   IF(AB18&lt;=400, AB18*3%,
      IF(AB18&lt;=500, AB18*4%,
         IF(AB18&lt;=700, AB18*5%, IF(AB18&lt;=900, AB18*8%, IF(AB18&lt;=1200, AB18*11%,
            IF(AB18&gt;1200, AB18*13%, 0)
         )
      )
   )
)))</f>
        <v>194.87</v>
      </c>
      <c r="O18" s="13">
        <v>50</v>
      </c>
      <c r="P18" s="13">
        <f t="shared" ref="P18" si="46">AB18*4%</f>
        <v>59.96</v>
      </c>
      <c r="Q18" s="13">
        <v>67.5</v>
      </c>
      <c r="R18" s="13">
        <v>112.5</v>
      </c>
      <c r="S18" s="13">
        <f t="shared" si="1"/>
        <v>10.5</v>
      </c>
      <c r="T18" s="13">
        <v>5</v>
      </c>
      <c r="U18" s="13">
        <f t="shared" ref="U18" si="47">AB18*5%</f>
        <v>74.95</v>
      </c>
      <c r="V18" s="13">
        <f t="shared" ref="V18" si="48">AB18*3%</f>
        <v>44.97</v>
      </c>
      <c r="W18" s="13">
        <f t="shared" ref="W18" si="49">AB18-(AB18/1.18)</f>
        <v>228.66101694915255</v>
      </c>
      <c r="X18" s="13">
        <f t="shared" ref="X18" si="50">K18+M18+N18+O18+P18+Q18+S18+T18+U18+V18+W18</f>
        <v>1566.4674169491525</v>
      </c>
      <c r="Y18" s="13">
        <f>AB18-X18</f>
        <v>-67.467416949152494</v>
      </c>
      <c r="Z18" s="15">
        <f>Y18/AB18</f>
        <v>-4.5008283488427281E-2</v>
      </c>
      <c r="AA18" s="15">
        <v>0.13</v>
      </c>
      <c r="AB18" s="13">
        <f>VLOOKUP(B18,'[2]1773735559_4e7bc90ec61444bfa761'!$B:$E,4,0)</f>
        <v>1499</v>
      </c>
      <c r="AC18" s="13">
        <f>VLOOKUP(B18,'[2]1773735559_4e7bc90ec61444bfa761'!$B:$D,3,0)</f>
        <v>1599</v>
      </c>
    </row>
    <row r="19" spans="1:30" x14ac:dyDescent="0.25">
      <c r="A19" s="10">
        <v>0.32</v>
      </c>
      <c r="B19" s="11">
        <v>10254807</v>
      </c>
      <c r="C19" s="11" t="s">
        <v>87</v>
      </c>
      <c r="D19" s="10" t="s">
        <v>88</v>
      </c>
      <c r="E19" s="11" t="s">
        <v>29</v>
      </c>
      <c r="F19" s="11" t="s">
        <v>89</v>
      </c>
      <c r="G19" s="11" t="s">
        <v>31</v>
      </c>
      <c r="H19" s="10" t="s">
        <v>149</v>
      </c>
      <c r="I19" s="10"/>
      <c r="J19" s="10" t="s">
        <v>166</v>
      </c>
      <c r="K19" s="13">
        <f>VLOOKUP(D19,'[1]Amazon Live Products'!F:P,11,0)</f>
        <v>498.25776000000002</v>
      </c>
      <c r="L19" s="13">
        <f>VLOOKUP(D19,'[1]Amazon Live Products'!F:Q,12,0)</f>
        <v>587.94415679999997</v>
      </c>
      <c r="M19" s="13">
        <f>AB19*10%</f>
        <v>99.9</v>
      </c>
      <c r="N19" s="14">
        <f>IF(AB19&lt;=1200, AB19*2%,
   IF(AB19&lt;=1500, AB19*5%,
      IF(AB19&lt;=2000, AB19*7%,
         IF(AB19&lt;=3000, AB19*9%,
            IF(AB19&gt;3000, AB19*11%, 0)
         )
      )
   )
)</f>
        <v>19.98</v>
      </c>
      <c r="O19" s="13">
        <v>50</v>
      </c>
      <c r="P19" s="13">
        <f>AB19*4%</f>
        <v>39.96</v>
      </c>
      <c r="Q19" s="13">
        <v>67.5</v>
      </c>
      <c r="R19" s="13">
        <v>112.5</v>
      </c>
      <c r="S19" s="13">
        <f t="shared" si="1"/>
        <v>4.8</v>
      </c>
      <c r="T19" s="13">
        <v>5</v>
      </c>
      <c r="U19" s="13">
        <f>AB19*5%</f>
        <v>49.95</v>
      </c>
      <c r="V19" s="13">
        <f>AB19*3%</f>
        <v>29.97</v>
      </c>
      <c r="W19" s="13">
        <f>AB19-(AB19/1.18)</f>
        <v>152.38983050847457</v>
      </c>
      <c r="X19" s="13">
        <f>K19+M19+N19+O19+P19+Q19+S19+T19+U19+V19+W19</f>
        <v>1017.7075905084747</v>
      </c>
      <c r="Y19" s="13">
        <f>AB19-X19</f>
        <v>-18.707590508474709</v>
      </c>
      <c r="Z19" s="15">
        <f>Y19/AB19</f>
        <v>-1.8726316825300009E-2</v>
      </c>
      <c r="AA19" s="15">
        <v>0.02</v>
      </c>
      <c r="AB19" s="13">
        <f>VLOOKUP(B19,'[2]1773735559_4e7bc90ec61444bfa761'!$B:$E,4,0)</f>
        <v>999</v>
      </c>
      <c r="AC19" s="13">
        <f>VLOOKUP(B19,'[2]1773735559_4e7bc90ec61444bfa761'!$B:$D,3,0)</f>
        <v>1049</v>
      </c>
    </row>
    <row r="20" spans="1:30" x14ac:dyDescent="0.25">
      <c r="A20" s="10">
        <v>1.125</v>
      </c>
      <c r="B20" s="11">
        <v>10243734</v>
      </c>
      <c r="C20" s="11" t="s">
        <v>90</v>
      </c>
      <c r="D20" s="10" t="s">
        <v>91</v>
      </c>
      <c r="E20" s="11" t="s">
        <v>29</v>
      </c>
      <c r="F20" s="11" t="s">
        <v>92</v>
      </c>
      <c r="G20" s="11" t="s">
        <v>31</v>
      </c>
      <c r="H20" s="10" t="s">
        <v>146</v>
      </c>
      <c r="I20" s="10" t="s">
        <v>93</v>
      </c>
      <c r="J20" s="10" t="s">
        <v>167</v>
      </c>
      <c r="K20" s="13">
        <f>VLOOKUP(D20,'[1]Amazon Live Products'!F:P,11,0)</f>
        <v>793.92719999999986</v>
      </c>
      <c r="L20" s="13">
        <f>VLOOKUP(D20,'[1]Amazon Live Products'!F:Q,12,0)</f>
        <v>936.83409599999982</v>
      </c>
      <c r="M20" s="13">
        <f t="shared" ref="M20:M24" si="51">AB20*10%</f>
        <v>159.9</v>
      </c>
      <c r="N20" s="14">
        <f>IF(AB20&lt;=2000, AB20*2%,
   IF(AB20&lt;=3000, AB20*6%,
      IF(AB20&lt;=5000, AB20*9%,
            IF(AB20&gt;5000, AB20*11%, 0)
         )
      )
   )</f>
        <v>31.98</v>
      </c>
      <c r="O20" s="13">
        <v>50</v>
      </c>
      <c r="P20" s="13">
        <f t="shared" ref="P20:P24" si="52">AB20*4%</f>
        <v>63.96</v>
      </c>
      <c r="Q20" s="13">
        <v>134.4</v>
      </c>
      <c r="R20" s="13">
        <v>205.71</v>
      </c>
      <c r="S20" s="13">
        <f t="shared" si="1"/>
        <v>16.875</v>
      </c>
      <c r="T20" s="13">
        <v>5</v>
      </c>
      <c r="U20" s="13">
        <f t="shared" ref="U20:U24" si="53">AB20*5%</f>
        <v>79.95</v>
      </c>
      <c r="V20" s="13">
        <f t="shared" ref="V20:V24" si="54">AB20*3%</f>
        <v>47.97</v>
      </c>
      <c r="W20" s="13">
        <f t="shared" ref="W20:W24" si="55">AB20-(AB20/1.18)</f>
        <v>243.91525423728808</v>
      </c>
      <c r="X20" s="13">
        <f t="shared" ref="X20:X24" si="56">K20+M20+N20+O20+P20+Q20+S20+T20+U20+V20+W20</f>
        <v>1627.877454237288</v>
      </c>
      <c r="Y20" s="13">
        <f t="shared" ref="Y20:Y24" si="57">AB20-X20</f>
        <v>-28.877454237288021</v>
      </c>
      <c r="Z20" s="15">
        <f t="shared" ref="Z20:Z24" si="58">Y20/AB20</f>
        <v>-1.8059696208435286E-2</v>
      </c>
      <c r="AA20" s="15">
        <v>0.02</v>
      </c>
      <c r="AB20" s="13">
        <f>VLOOKUP(B20,'[2]1773735559_4e7bc90ec61444bfa761'!$B:$E,4,0)</f>
        <v>1599</v>
      </c>
      <c r="AC20" s="13">
        <f>VLOOKUP(B20,'[2]1773735559_4e7bc90ec61444bfa761'!$B:$D,3,0)</f>
        <v>1599</v>
      </c>
      <c r="AD20" s="3"/>
    </row>
    <row r="21" spans="1:30" x14ac:dyDescent="0.25">
      <c r="A21" s="10">
        <v>0.26400000000000001</v>
      </c>
      <c r="B21" s="11">
        <v>10246012</v>
      </c>
      <c r="C21" s="11" t="s">
        <v>94</v>
      </c>
      <c r="D21" s="10" t="s">
        <v>95</v>
      </c>
      <c r="E21" s="11" t="s">
        <v>29</v>
      </c>
      <c r="F21" s="11" t="s">
        <v>96</v>
      </c>
      <c r="G21" s="11" t="s">
        <v>31</v>
      </c>
      <c r="H21" s="10" t="s">
        <v>149</v>
      </c>
      <c r="I21" s="10"/>
      <c r="J21" s="10" t="s">
        <v>168</v>
      </c>
      <c r="K21" s="13">
        <f>VLOOKUP(D21,'[1]Amazon Live Products'!F:P,11,0)</f>
        <v>448.35120000000001</v>
      </c>
      <c r="L21" s="13">
        <f>VLOOKUP(D21,'[1]Amazon Live Products'!F:Q,12,0)</f>
        <v>529.05441599999995</v>
      </c>
      <c r="M21" s="13">
        <f t="shared" si="51"/>
        <v>154.9</v>
      </c>
      <c r="N21" s="14">
        <f>IF(AB21&lt;=300, AB21*2%,
   IF(AB21&lt;=400, AB21*4%,
      IF(AB21&lt;=500, AB21*6%,
         IF(AB21&lt;=700, AB21*8%, IF(AB21&lt;=900, AB21*13%, IF(AB21&lt;=1200, AB21*16%,
            IF(AB21&gt;1200, AB21*18%, 0)
         )
      )
   )
)))</f>
        <v>278.82</v>
      </c>
      <c r="O21" s="13">
        <v>50</v>
      </c>
      <c r="P21" s="13">
        <f t="shared" si="52"/>
        <v>61.96</v>
      </c>
      <c r="Q21" s="13">
        <v>67.5</v>
      </c>
      <c r="R21" s="13">
        <v>112.5</v>
      </c>
      <c r="S21" s="13">
        <f t="shared" si="1"/>
        <v>3.96</v>
      </c>
      <c r="T21" s="13">
        <v>5</v>
      </c>
      <c r="U21" s="13">
        <f t="shared" si="53"/>
        <v>77.45</v>
      </c>
      <c r="V21" s="13">
        <f t="shared" si="54"/>
        <v>46.47</v>
      </c>
      <c r="W21" s="13">
        <f t="shared" si="55"/>
        <v>236.2881355932202</v>
      </c>
      <c r="X21" s="13">
        <f t="shared" si="56"/>
        <v>1430.6993355932204</v>
      </c>
      <c r="Y21" s="13">
        <f t="shared" si="57"/>
        <v>118.30066440677956</v>
      </c>
      <c r="Z21" s="15">
        <f t="shared" si="58"/>
        <v>7.6372281734525219E-2</v>
      </c>
      <c r="AA21" s="15">
        <v>0.18</v>
      </c>
      <c r="AB21" s="13">
        <f>VLOOKUP(B21,'[2]1773735559_4e7bc90ec61444bfa761'!$B:$E,4,0)</f>
        <v>1549</v>
      </c>
      <c r="AC21" s="13">
        <f>VLOOKUP(B21,'[2]1773735559_4e7bc90ec61444bfa761'!$B:$D,3,0)</f>
        <v>1598</v>
      </c>
    </row>
    <row r="22" spans="1:30" x14ac:dyDescent="0.25">
      <c r="A22" s="10">
        <v>0.44</v>
      </c>
      <c r="B22" s="11">
        <v>10245584</v>
      </c>
      <c r="C22" s="11" t="s">
        <v>97</v>
      </c>
      <c r="D22" s="10" t="s">
        <v>98</v>
      </c>
      <c r="E22" s="11" t="s">
        <v>29</v>
      </c>
      <c r="F22" s="11" t="s">
        <v>103</v>
      </c>
      <c r="G22" s="11" t="s">
        <v>31</v>
      </c>
      <c r="H22" s="10" t="s">
        <v>149</v>
      </c>
      <c r="I22" s="12" t="s">
        <v>49</v>
      </c>
      <c r="J22" s="10" t="s">
        <v>169</v>
      </c>
      <c r="K22" s="13">
        <f>VLOOKUP(D22,'[1]Amazon Live Products'!F:P,11,0)</f>
        <v>1011.2810400000001</v>
      </c>
      <c r="L22" s="13">
        <f>VLOOKUP(D22,'[1]Amazon Live Products'!F:Q,12,0)</f>
        <v>1193.3116272</v>
      </c>
      <c r="M22" s="13">
        <f t="shared" si="51"/>
        <v>259.90000000000003</v>
      </c>
      <c r="N22" s="14">
        <f t="shared" ref="N22" si="59">IF(AB22&lt;=1200, AB22*2%,
   IF(AB22&lt;=1500, AB22*5%,
      IF(AB22&lt;=2000, AB22*7%,
         IF(AB22&lt;=3000, AB22*9%,
            IF(AB22&gt;3000, AB22*11%, 0)
         )
      )
   )
)</f>
        <v>233.91</v>
      </c>
      <c r="O22" s="13">
        <v>50</v>
      </c>
      <c r="P22" s="13">
        <f t="shared" si="52"/>
        <v>103.96000000000001</v>
      </c>
      <c r="Q22" s="13">
        <v>67.5</v>
      </c>
      <c r="R22" s="13">
        <v>112.5</v>
      </c>
      <c r="S22" s="13">
        <f t="shared" si="1"/>
        <v>6.6</v>
      </c>
      <c r="T22" s="13">
        <v>5</v>
      </c>
      <c r="U22" s="13">
        <f t="shared" si="53"/>
        <v>129.95000000000002</v>
      </c>
      <c r="V22" s="13">
        <f t="shared" si="54"/>
        <v>77.97</v>
      </c>
      <c r="W22" s="13">
        <f t="shared" si="55"/>
        <v>396.45762711864381</v>
      </c>
      <c r="X22" s="13">
        <f t="shared" si="56"/>
        <v>2342.5286671186441</v>
      </c>
      <c r="Y22" s="13">
        <f t="shared" si="57"/>
        <v>256.47133288135592</v>
      </c>
      <c r="Z22" s="15">
        <f t="shared" si="58"/>
        <v>9.8680774483014974E-2</v>
      </c>
      <c r="AA22" s="15">
        <v>0.09</v>
      </c>
      <c r="AB22" s="13">
        <f>VLOOKUP(B22,'[2]1773735559_4e7bc90ec61444bfa761'!$B:$E,4,0)</f>
        <v>2599</v>
      </c>
      <c r="AC22" s="13">
        <f>VLOOKUP(B22,'[2]1773735559_4e7bc90ec61444bfa761'!$B:$D,3,0)</f>
        <v>2599</v>
      </c>
    </row>
    <row r="23" spans="1:30" x14ac:dyDescent="0.25">
      <c r="A23" s="10">
        <v>1.1000000000000001</v>
      </c>
      <c r="B23" s="11">
        <v>10235460</v>
      </c>
      <c r="C23" s="11" t="s">
        <v>99</v>
      </c>
      <c r="D23" s="10" t="s">
        <v>100</v>
      </c>
      <c r="E23" s="11" t="s">
        <v>29</v>
      </c>
      <c r="F23" s="11" t="s">
        <v>104</v>
      </c>
      <c r="G23" s="11" t="s">
        <v>31</v>
      </c>
      <c r="H23" s="10" t="s">
        <v>34</v>
      </c>
      <c r="I23" s="10"/>
      <c r="J23" s="10" t="s">
        <v>170</v>
      </c>
      <c r="K23" s="13">
        <f>VLOOKUP(D23,'[1]Amazon Live Products'!F:P,11,0)</f>
        <v>896.70240000000001</v>
      </c>
      <c r="L23" s="13">
        <f>VLOOKUP(D23,'[1]Amazon Live Products'!F:Q,12,0)</f>
        <v>1058.1088319999999</v>
      </c>
      <c r="M23" s="13">
        <f t="shared" si="51"/>
        <v>179.9</v>
      </c>
      <c r="N23" s="14">
        <f>IF(AB23&lt;=500, AB23*2%,
   IF(AB23&lt;=700, AB23*6%,
      IF(AB23&lt;=900, AB23*13%,
         IF(AB23&lt;=1200, AB23*16%,
            IF(AB23&gt;1200, AB23*18%, 0)
         )
      )
   )
)</f>
        <v>323.82</v>
      </c>
      <c r="O23" s="13">
        <v>50</v>
      </c>
      <c r="P23" s="13">
        <f t="shared" si="52"/>
        <v>71.960000000000008</v>
      </c>
      <c r="Q23" s="13">
        <v>81.92</v>
      </c>
      <c r="R23" s="13">
        <v>126.92</v>
      </c>
      <c r="S23" s="13">
        <f t="shared" si="1"/>
        <v>16.5</v>
      </c>
      <c r="T23" s="13">
        <v>5</v>
      </c>
      <c r="U23" s="13">
        <f t="shared" si="53"/>
        <v>89.95</v>
      </c>
      <c r="V23" s="13">
        <f t="shared" si="54"/>
        <v>53.97</v>
      </c>
      <c r="W23" s="13">
        <f t="shared" si="55"/>
        <v>274.42372881355914</v>
      </c>
      <c r="X23" s="13">
        <f t="shared" si="56"/>
        <v>2044.1461288135592</v>
      </c>
      <c r="Y23" s="13">
        <f t="shared" si="57"/>
        <v>-245.14612881355924</v>
      </c>
      <c r="Z23" s="15">
        <f t="shared" si="58"/>
        <v>-0.13626799822877111</v>
      </c>
      <c r="AA23" s="15">
        <v>0.18</v>
      </c>
      <c r="AB23" s="13">
        <f>VLOOKUP(B23,'[2]1773735559_4e7bc90ec61444bfa761'!$B:$E,4,0)</f>
        <v>1799</v>
      </c>
      <c r="AC23" s="13">
        <f>VLOOKUP(B23,'[2]1773735559_4e7bc90ec61444bfa761'!$B:$D,3,0)</f>
        <v>1799</v>
      </c>
      <c r="AD23" s="3"/>
    </row>
    <row r="24" spans="1:30" x14ac:dyDescent="0.25">
      <c r="A24" s="10">
        <v>0.6</v>
      </c>
      <c r="B24" s="11">
        <v>10224530</v>
      </c>
      <c r="C24" s="11" t="s">
        <v>101</v>
      </c>
      <c r="D24" s="10" t="s">
        <v>102</v>
      </c>
      <c r="E24" s="11" t="s">
        <v>29</v>
      </c>
      <c r="F24" s="11" t="s">
        <v>105</v>
      </c>
      <c r="G24" s="11" t="s">
        <v>41</v>
      </c>
      <c r="H24" s="10" t="s">
        <v>149</v>
      </c>
      <c r="I24" s="10" t="s">
        <v>79</v>
      </c>
      <c r="J24" s="10" t="s">
        <v>171</v>
      </c>
      <c r="K24" s="13">
        <f>VLOOKUP(D24,'[1]Amazon Live Products'!F:P,11,0)</f>
        <v>836.92223999999999</v>
      </c>
      <c r="L24" s="13">
        <f>VLOOKUP(D24,'[1]Amazon Live Products'!F:Q,12,0)</f>
        <v>937.35290880000002</v>
      </c>
      <c r="M24" s="13">
        <f t="shared" si="51"/>
        <v>279.90000000000003</v>
      </c>
      <c r="N24" s="14">
        <f t="shared" ref="N24" si="60">IF(AB24&lt;=300, AB24*2%,
   IF(AB24&lt;=400, AB24*4%,
      IF(AB24&lt;=500, AB24*6%,
         IF(AB24&lt;=700, AB24*10%, IF(AB24&lt;=900, AB24*17%, IF(AB24&lt;=1200, AB24*20%,
            IF(AB24&gt;1200, AB24*25%, 0)
         )
      )
   )
)))</f>
        <v>699.75</v>
      </c>
      <c r="O24" s="13">
        <v>50</v>
      </c>
      <c r="P24" s="13">
        <f t="shared" si="52"/>
        <v>111.96000000000001</v>
      </c>
      <c r="Q24" s="13">
        <v>68.14</v>
      </c>
      <c r="R24" s="13">
        <v>113.14</v>
      </c>
      <c r="S24" s="13">
        <f t="shared" si="1"/>
        <v>9</v>
      </c>
      <c r="T24" s="13">
        <v>5</v>
      </c>
      <c r="U24" s="13">
        <f t="shared" si="53"/>
        <v>139.95000000000002</v>
      </c>
      <c r="V24" s="13">
        <f t="shared" si="54"/>
        <v>83.97</v>
      </c>
      <c r="W24" s="13">
        <f t="shared" si="55"/>
        <v>426.96610169491532</v>
      </c>
      <c r="X24" s="13">
        <f t="shared" si="56"/>
        <v>2711.5583416949148</v>
      </c>
      <c r="Y24" s="13">
        <f t="shared" si="57"/>
        <v>87.441658305085184</v>
      </c>
      <c r="Z24" s="15">
        <f t="shared" si="58"/>
        <v>3.1240320937865374E-2</v>
      </c>
      <c r="AA24" s="15">
        <v>0.25</v>
      </c>
      <c r="AB24" s="13">
        <f>VLOOKUP(B24,'[2]1773735559_4e7bc90ec61444bfa761'!$B:$E,4,0)</f>
        <v>2799</v>
      </c>
      <c r="AC24" s="13">
        <f>VLOOKUP(B24,'[2]1773735559_4e7bc90ec61444bfa761'!$B:$D,3,0)</f>
        <v>2799</v>
      </c>
    </row>
    <row r="25" spans="1:30" x14ac:dyDescent="0.25">
      <c r="A25" s="10">
        <v>2.2000000000000002</v>
      </c>
      <c r="B25" s="11">
        <v>10223639</v>
      </c>
      <c r="C25" s="11" t="s">
        <v>106</v>
      </c>
      <c r="D25" s="10" t="s">
        <v>107</v>
      </c>
      <c r="E25" s="11" t="s">
        <v>29</v>
      </c>
      <c r="F25" s="11" t="s">
        <v>108</v>
      </c>
      <c r="G25" s="11" t="s">
        <v>41</v>
      </c>
      <c r="H25" s="10" t="s">
        <v>34</v>
      </c>
      <c r="I25" s="12"/>
      <c r="J25" s="10" t="s">
        <v>172</v>
      </c>
      <c r="K25" s="13">
        <f>VLOOKUP(D25,'[1]Amazon Live Products'!F:P,11,0)</f>
        <v>1182.67776</v>
      </c>
      <c r="L25" s="13">
        <f>VLOOKUP(D25,'[1]Amazon Live Products'!F:Q,12,0)</f>
        <v>1395.5597568000001</v>
      </c>
      <c r="M25" s="13">
        <f t="shared" ref="M25" si="61">AB25*10%</f>
        <v>279.90000000000003</v>
      </c>
      <c r="N25" s="14">
        <f>AB25*2%</f>
        <v>55.980000000000004</v>
      </c>
      <c r="O25" s="13">
        <v>50</v>
      </c>
      <c r="P25" s="13">
        <f t="shared" ref="P25" si="62">AB25*4%</f>
        <v>111.96000000000001</v>
      </c>
      <c r="Q25" s="13">
        <v>157.81</v>
      </c>
      <c r="R25" s="13">
        <v>241.54</v>
      </c>
      <c r="S25" s="13">
        <f t="shared" si="1"/>
        <v>33</v>
      </c>
      <c r="T25" s="13">
        <v>5</v>
      </c>
      <c r="U25" s="13">
        <f t="shared" ref="U25" si="63">AB25*5%</f>
        <v>139.95000000000002</v>
      </c>
      <c r="V25" s="13">
        <f t="shared" ref="V25" si="64">AB25*3%</f>
        <v>83.97</v>
      </c>
      <c r="W25" s="13">
        <f t="shared" ref="W25" si="65">AB25-(AB25/1.18)</f>
        <v>426.96610169491532</v>
      </c>
      <c r="X25" s="13">
        <f t="shared" ref="X25" si="66">K25+M25+N25+O25+P25+Q25+S25+T25+U25+V25+W25</f>
        <v>2527.2138616949155</v>
      </c>
      <c r="Y25" s="13">
        <f>AB25-X25</f>
        <v>271.78613830508448</v>
      </c>
      <c r="Z25" s="15">
        <f>Y25/AB25</f>
        <v>9.7101156950726852E-2</v>
      </c>
      <c r="AA25" s="15">
        <v>0.02</v>
      </c>
      <c r="AB25" s="13">
        <f>VLOOKUP(B25,'[2]1773735559_4e7bc90ec61444bfa761'!$B:$E,4,0)</f>
        <v>2799</v>
      </c>
      <c r="AC25" s="13">
        <f>VLOOKUP(B25,'[2]1773735559_4e7bc90ec61444bfa761'!$B:$D,3,0)</f>
        <v>2899</v>
      </c>
      <c r="AD25" s="3"/>
    </row>
    <row r="26" spans="1:30" x14ac:dyDescent="0.25">
      <c r="A26" s="10">
        <v>0.4</v>
      </c>
      <c r="B26" s="11">
        <v>10235831</v>
      </c>
      <c r="C26" s="11" t="s">
        <v>109</v>
      </c>
      <c r="D26" s="10" t="s">
        <v>110</v>
      </c>
      <c r="E26" s="11" t="s">
        <v>29</v>
      </c>
      <c r="F26" s="11" t="s">
        <v>111</v>
      </c>
      <c r="G26" s="11" t="s">
        <v>41</v>
      </c>
      <c r="H26" s="10" t="s">
        <v>173</v>
      </c>
      <c r="I26" s="10"/>
      <c r="J26" s="10" t="s">
        <v>174</v>
      </c>
      <c r="K26" s="13">
        <f>VLOOKUP(D26,'[1]Amazon Live Products'!F:P,11,0)</f>
        <v>413.80342390588237</v>
      </c>
      <c r="L26" s="13">
        <f>VLOOKUP(D26,'[1]Amazon Live Products'!F:Q,12,0)</f>
        <v>488.2880402089412</v>
      </c>
      <c r="M26" s="13">
        <f t="shared" ref="M26" si="67">AB26*10%</f>
        <v>97.7</v>
      </c>
      <c r="N26" s="14">
        <f>IF(AB26&lt;=500, AB26*2%,
   IF(AB26&lt;=700, AB26*6%,
      IF(AB26&lt;=900, AB26*13%,
         IF(AB26&lt;=1200, AB26*16%,
            IF(AB26&gt;1200, AB26*18%, 0)
         )
      )
   )
)</f>
        <v>156.32</v>
      </c>
      <c r="O26" s="13">
        <v>50</v>
      </c>
      <c r="P26" s="13">
        <f t="shared" ref="P26" si="68">AB26*4%</f>
        <v>39.08</v>
      </c>
      <c r="Q26" s="13">
        <v>67.5</v>
      </c>
      <c r="R26" s="13">
        <v>112.5</v>
      </c>
      <c r="S26" s="13">
        <f t="shared" si="1"/>
        <v>6</v>
      </c>
      <c r="T26" s="13">
        <v>5</v>
      </c>
      <c r="U26" s="13">
        <f t="shared" ref="U26" si="69">AB26*5%</f>
        <v>48.85</v>
      </c>
      <c r="V26" s="13">
        <f t="shared" ref="V26" si="70">AB26*3%</f>
        <v>29.31</v>
      </c>
      <c r="W26" s="13">
        <f t="shared" ref="W26" si="71">AB26-(AB26/1.18)</f>
        <v>149.03389830508468</v>
      </c>
      <c r="X26" s="13">
        <f t="shared" ref="X26" si="72">K26+M26+N26+O26+P26+Q26+S26+T26+U26+V26+W26</f>
        <v>1062.5973222109669</v>
      </c>
      <c r="Y26" s="13">
        <f>AB26-X26</f>
        <v>-85.597322210966922</v>
      </c>
      <c r="Z26" s="15">
        <f>Y26/AB26</f>
        <v>-8.7612407585431859E-2</v>
      </c>
      <c r="AA26" s="15">
        <v>0.16</v>
      </c>
      <c r="AB26" s="13">
        <f>VLOOKUP(B26,'[2]1773735559_4e7bc90ec61444bfa761'!$B:$E,4,0)</f>
        <v>977</v>
      </c>
      <c r="AC26" s="13">
        <f>VLOOKUP(B26,'[2]1773735559_4e7bc90ec61444bfa761'!$B:$D,3,0)</f>
        <v>999</v>
      </c>
      <c r="AD26" s="3"/>
    </row>
    <row r="27" spans="1:30" x14ac:dyDescent="0.25">
      <c r="A27" s="10">
        <v>2</v>
      </c>
      <c r="B27" s="11">
        <v>10225087</v>
      </c>
      <c r="C27" s="11" t="s">
        <v>112</v>
      </c>
      <c r="D27" s="10" t="s">
        <v>113</v>
      </c>
      <c r="E27" s="11" t="s">
        <v>29</v>
      </c>
      <c r="F27" s="11" t="s">
        <v>114</v>
      </c>
      <c r="G27" s="11" t="s">
        <v>41</v>
      </c>
      <c r="H27" s="10" t="s">
        <v>146</v>
      </c>
      <c r="I27" s="12"/>
      <c r="J27" s="10" t="s">
        <v>175</v>
      </c>
      <c r="K27" s="13">
        <f>VLOOKUP(D27,'[1]Amazon Live Products'!F:P,11,0)</f>
        <v>1743.5880000000002</v>
      </c>
      <c r="L27" s="13">
        <f>VLOOKUP(D27,'[1]Amazon Live Products'!F:Q,12,0)</f>
        <v>2057.4338400000001</v>
      </c>
      <c r="M27" s="13">
        <f>AB27*10%</f>
        <v>359.90000000000003</v>
      </c>
      <c r="N27" s="14">
        <f>AB27*2%</f>
        <v>71.98</v>
      </c>
      <c r="O27" s="13">
        <v>50</v>
      </c>
      <c r="P27" s="13">
        <f>AB27*4%</f>
        <v>143.96</v>
      </c>
      <c r="Q27" s="13">
        <v>155.66999999999999</v>
      </c>
      <c r="R27" s="13">
        <v>238.27</v>
      </c>
      <c r="S27" s="13">
        <f t="shared" si="1"/>
        <v>30</v>
      </c>
      <c r="T27" s="13">
        <v>5</v>
      </c>
      <c r="U27" s="13">
        <f>AB27*5%</f>
        <v>179.95000000000002</v>
      </c>
      <c r="V27" s="13">
        <f>AB27*3%</f>
        <v>107.97</v>
      </c>
      <c r="W27" s="13">
        <f>AB27-(AB27/1.18)</f>
        <v>549</v>
      </c>
      <c r="X27" s="13">
        <f>K27+M27+N27+O27+P27+Q27+S27+T27+U27+V27+W27</f>
        <v>3397.018</v>
      </c>
      <c r="Y27" s="13">
        <f>AB27-X27</f>
        <v>201.98199999999997</v>
      </c>
      <c r="Z27" s="15">
        <f>Y27/AB27</f>
        <v>5.6121700472353424E-2</v>
      </c>
      <c r="AA27" s="15">
        <v>0.02</v>
      </c>
      <c r="AB27" s="13">
        <f>VLOOKUP(B27,'[2]1773735559_4e7bc90ec61444bfa761'!$B:$E,4,0)</f>
        <v>3599</v>
      </c>
      <c r="AC27" s="13">
        <f>VLOOKUP(B27,'[2]1773735559_4e7bc90ec61444bfa761'!$B:$D,3,0)</f>
        <v>3599</v>
      </c>
    </row>
    <row r="28" spans="1:30" x14ac:dyDescent="0.25">
      <c r="A28" s="10">
        <v>0.15</v>
      </c>
      <c r="B28" s="11">
        <v>10266349</v>
      </c>
      <c r="C28" s="11" t="s">
        <v>115</v>
      </c>
      <c r="D28" s="10" t="s">
        <v>116</v>
      </c>
      <c r="E28" s="11" t="s">
        <v>29</v>
      </c>
      <c r="F28" s="11" t="s">
        <v>125</v>
      </c>
      <c r="G28" s="11" t="s">
        <v>31</v>
      </c>
      <c r="H28" s="16" t="s">
        <v>146</v>
      </c>
      <c r="I28" s="16" t="s">
        <v>33</v>
      </c>
      <c r="J28" s="17" t="s">
        <v>176</v>
      </c>
      <c r="K28" s="18">
        <v>120.45792</v>
      </c>
      <c r="L28" s="18">
        <v>142.14034559999999</v>
      </c>
      <c r="M28" s="13">
        <f t="shared" ref="M28:M34" si="73">AB28*10%</f>
        <v>35.800000000000004</v>
      </c>
      <c r="N28" s="14">
        <f t="shared" ref="N28:N31" si="74">IF(AB28&lt;=1200, AB28*2%,
   IF(AB28&lt;=1500, AB28*5%,
      IF(AB28&lt;=2000, AB28*7%,
         IF(AB28&lt;=3000, AB28*9%,
            IF(AB28&gt;3000, AB28*11%, 0)
         )
      )
   )
)</f>
        <v>7.16</v>
      </c>
      <c r="O28" s="13">
        <v>50</v>
      </c>
      <c r="P28" s="13">
        <f t="shared" ref="P28:P34" si="75">AB28*4%</f>
        <v>14.32</v>
      </c>
      <c r="Q28" s="13">
        <v>67.5</v>
      </c>
      <c r="R28" s="13">
        <v>112.5</v>
      </c>
      <c r="S28" s="13">
        <f t="shared" si="1"/>
        <v>2.25</v>
      </c>
      <c r="T28" s="13">
        <v>5</v>
      </c>
      <c r="U28" s="13">
        <f t="shared" ref="U28:U34" si="76">AB28*5%</f>
        <v>17.900000000000002</v>
      </c>
      <c r="V28" s="13">
        <f t="shared" ref="V28:V34" si="77">AB28*3%</f>
        <v>10.74</v>
      </c>
      <c r="W28" s="13">
        <f t="shared" ref="W28:W34" si="78">AB28-(AB28/1.18)</f>
        <v>54.610169491525426</v>
      </c>
      <c r="X28" s="13">
        <f t="shared" ref="X28" si="79">K28+M28+N28+O28+P28+Q28+S28+T28+U28+V28+W28</f>
        <v>385.73808949152544</v>
      </c>
      <c r="Y28" s="13">
        <f t="shared" ref="Y28:Y34" si="80">AB28-X28</f>
        <v>-27.738089491525443</v>
      </c>
      <c r="Z28" s="15">
        <f t="shared" ref="Z28:Z34" si="81">Y28/AB28</f>
        <v>-7.7480696903702351E-2</v>
      </c>
      <c r="AA28" s="15">
        <v>0.02</v>
      </c>
      <c r="AB28" s="13">
        <f>VLOOKUP(B28,'[2]1773735559_4e7bc90ec61444bfa761'!$B:$E,4,0)</f>
        <v>358</v>
      </c>
      <c r="AC28" s="13">
        <v>379</v>
      </c>
      <c r="AD28" s="5"/>
    </row>
    <row r="29" spans="1:30" x14ac:dyDescent="0.25">
      <c r="A29" s="10">
        <v>1.48</v>
      </c>
      <c r="B29" s="11">
        <v>10247375</v>
      </c>
      <c r="C29" s="11" t="s">
        <v>117</v>
      </c>
      <c r="D29" s="10" t="s">
        <v>118</v>
      </c>
      <c r="E29" s="11" t="s">
        <v>126</v>
      </c>
      <c r="F29" s="11" t="s">
        <v>127</v>
      </c>
      <c r="G29" s="11" t="s">
        <v>31</v>
      </c>
      <c r="H29" s="10" t="s">
        <v>177</v>
      </c>
      <c r="I29" s="10" t="s">
        <v>131</v>
      </c>
      <c r="J29" s="10" t="s">
        <v>178</v>
      </c>
      <c r="K29" s="13">
        <v>1153.7110526882352</v>
      </c>
      <c r="L29" s="13">
        <v>1361.3790421721176</v>
      </c>
      <c r="M29" s="13">
        <f t="shared" si="73"/>
        <v>262.8</v>
      </c>
      <c r="N29" s="14">
        <f t="shared" si="74"/>
        <v>236.51999999999998</v>
      </c>
      <c r="O29" s="13">
        <v>50</v>
      </c>
      <c r="P29" s="13">
        <f t="shared" si="75"/>
        <v>105.12</v>
      </c>
      <c r="Q29" s="13">
        <v>100.31</v>
      </c>
      <c r="R29" s="13">
        <v>153.54</v>
      </c>
      <c r="S29" s="13">
        <f t="shared" si="1"/>
        <v>22.2</v>
      </c>
      <c r="T29" s="13">
        <v>5</v>
      </c>
      <c r="U29" s="13">
        <f t="shared" si="76"/>
        <v>131.4</v>
      </c>
      <c r="V29" s="13">
        <f t="shared" si="77"/>
        <v>78.84</v>
      </c>
      <c r="W29" s="13">
        <f t="shared" si="78"/>
        <v>400.88135593220341</v>
      </c>
      <c r="X29" s="13">
        <f t="shared" ref="X29:X34" si="82">K29+N29+O29+P29+Q29+T29+U29+V29+W29+M29+S29</f>
        <v>2546.7824086204382</v>
      </c>
      <c r="Y29" s="13">
        <f t="shared" si="80"/>
        <v>81.217591379561782</v>
      </c>
      <c r="Z29" s="15">
        <f t="shared" si="81"/>
        <v>3.0904715136819551E-2</v>
      </c>
      <c r="AA29" s="15">
        <v>0.09</v>
      </c>
      <c r="AB29" s="13">
        <f>VLOOKUP(B29,'[2]1773735559_4e7bc90ec61444bfa761'!$B:$E,4,0)</f>
        <v>2628</v>
      </c>
      <c r="AC29" s="13">
        <v>2628</v>
      </c>
      <c r="AD29" s="5"/>
    </row>
    <row r="30" spans="1:30" x14ac:dyDescent="0.25">
      <c r="A30" s="10">
        <v>0.83</v>
      </c>
      <c r="B30" s="11">
        <v>10247251</v>
      </c>
      <c r="C30" s="11" t="s">
        <v>119</v>
      </c>
      <c r="D30" s="10" t="s">
        <v>120</v>
      </c>
      <c r="E30" s="11" t="s">
        <v>126</v>
      </c>
      <c r="F30" s="11" t="s">
        <v>128</v>
      </c>
      <c r="G30" s="11" t="s">
        <v>31</v>
      </c>
      <c r="H30" s="10" t="s">
        <v>132</v>
      </c>
      <c r="I30" s="10" t="s">
        <v>132</v>
      </c>
      <c r="J30" s="10" t="s">
        <v>179</v>
      </c>
      <c r="K30" s="13">
        <v>1692.7554133938529</v>
      </c>
      <c r="L30" s="13">
        <v>1997.4513878047462</v>
      </c>
      <c r="M30" s="13">
        <f t="shared" si="73"/>
        <v>449.90000000000003</v>
      </c>
      <c r="N30" s="14">
        <f t="shared" si="74"/>
        <v>494.89</v>
      </c>
      <c r="O30" s="13">
        <v>50</v>
      </c>
      <c r="P30" s="13">
        <f t="shared" si="75"/>
        <v>179.96</v>
      </c>
      <c r="Q30" s="13">
        <v>67.5</v>
      </c>
      <c r="R30" s="13">
        <v>112.5</v>
      </c>
      <c r="S30" s="13">
        <f t="shared" si="1"/>
        <v>12.45</v>
      </c>
      <c r="T30" s="13">
        <v>5</v>
      </c>
      <c r="U30" s="13">
        <f t="shared" si="76"/>
        <v>224.95000000000002</v>
      </c>
      <c r="V30" s="13">
        <f t="shared" si="77"/>
        <v>134.97</v>
      </c>
      <c r="W30" s="13">
        <f t="shared" si="78"/>
        <v>686.28813559321998</v>
      </c>
      <c r="X30" s="13">
        <f t="shared" si="82"/>
        <v>3998.6635489870723</v>
      </c>
      <c r="Y30" s="13">
        <f t="shared" si="80"/>
        <v>500.33645101292768</v>
      </c>
      <c r="Z30" s="15">
        <f t="shared" si="81"/>
        <v>0.11121059146764341</v>
      </c>
      <c r="AA30" s="15">
        <v>0.11</v>
      </c>
      <c r="AB30" s="13">
        <f>VLOOKUP(B30,'[2]1773735559_4e7bc90ec61444bfa761'!$B:$E,4,0)</f>
        <v>4499</v>
      </c>
      <c r="AC30" s="13">
        <v>4698</v>
      </c>
      <c r="AD30" s="5"/>
    </row>
    <row r="31" spans="1:30" x14ac:dyDescent="0.25">
      <c r="A31" s="10">
        <v>1.4</v>
      </c>
      <c r="B31" s="11">
        <v>10247010</v>
      </c>
      <c r="C31" s="11" t="s">
        <v>121</v>
      </c>
      <c r="D31" s="10" t="s">
        <v>122</v>
      </c>
      <c r="E31" s="11" t="s">
        <v>126</v>
      </c>
      <c r="F31" s="11" t="s">
        <v>129</v>
      </c>
      <c r="G31" s="11" t="s">
        <v>31</v>
      </c>
      <c r="H31" s="10" t="s">
        <v>177</v>
      </c>
      <c r="I31" s="10" t="s">
        <v>133</v>
      </c>
      <c r="J31" s="10" t="s">
        <v>180</v>
      </c>
      <c r="K31" s="13">
        <v>1579.9517969999999</v>
      </c>
      <c r="L31" s="13">
        <v>1864.3431204599999</v>
      </c>
      <c r="M31" s="13">
        <f t="shared" si="73"/>
        <v>351.8</v>
      </c>
      <c r="N31" s="14">
        <f t="shared" si="74"/>
        <v>386.98</v>
      </c>
      <c r="O31" s="13">
        <v>50</v>
      </c>
      <c r="P31" s="13">
        <f t="shared" si="75"/>
        <v>140.72</v>
      </c>
      <c r="Q31" s="13">
        <v>101.35</v>
      </c>
      <c r="R31" s="13">
        <v>155.13</v>
      </c>
      <c r="S31" s="13">
        <f t="shared" si="1"/>
        <v>21</v>
      </c>
      <c r="T31" s="13">
        <v>5</v>
      </c>
      <c r="U31" s="13">
        <f t="shared" si="76"/>
        <v>175.9</v>
      </c>
      <c r="V31" s="13">
        <f t="shared" si="77"/>
        <v>105.53999999999999</v>
      </c>
      <c r="W31" s="13">
        <f t="shared" si="78"/>
        <v>536.64406779661022</v>
      </c>
      <c r="X31" s="13">
        <f t="shared" si="82"/>
        <v>3454.8858647966103</v>
      </c>
      <c r="Y31" s="13">
        <f t="shared" si="80"/>
        <v>63.114135203389651</v>
      </c>
      <c r="Z31" s="15">
        <f t="shared" si="81"/>
        <v>1.7940345424499616E-2</v>
      </c>
      <c r="AA31" s="15">
        <v>0.11</v>
      </c>
      <c r="AB31" s="13">
        <f>VLOOKUP(B31,'[2]1773735559_4e7bc90ec61444bfa761'!$B:$E,4,0)</f>
        <v>3518</v>
      </c>
      <c r="AC31" s="13">
        <v>3518</v>
      </c>
      <c r="AD31" s="5"/>
    </row>
    <row r="32" spans="1:30" x14ac:dyDescent="0.25">
      <c r="A32" s="10">
        <v>0.2</v>
      </c>
      <c r="B32" s="11">
        <v>10246220</v>
      </c>
      <c r="C32" s="11" t="s">
        <v>123</v>
      </c>
      <c r="D32" s="10" t="s">
        <v>124</v>
      </c>
      <c r="E32" s="11" t="s">
        <v>126</v>
      </c>
      <c r="F32" s="11" t="s">
        <v>130</v>
      </c>
      <c r="G32" s="11" t="s">
        <v>31</v>
      </c>
      <c r="H32" s="10" t="s">
        <v>181</v>
      </c>
      <c r="I32" s="10" t="s">
        <v>134</v>
      </c>
      <c r="J32" s="10" t="s">
        <v>182</v>
      </c>
      <c r="K32" s="13">
        <v>591.20776919999992</v>
      </c>
      <c r="L32" s="13">
        <v>697.62516765599992</v>
      </c>
      <c r="M32" s="13">
        <f t="shared" si="73"/>
        <v>118.7</v>
      </c>
      <c r="N32" s="14">
        <f>IF(AB32&lt;=300, AB32*2%,
   IF(AB32&lt;=400, AB32*4%,
      IF(AB32&lt;=500, AB32*6%,
         IF(AB32&lt;=700, AB32*8%, IF(AB32&lt;=900, AB32*13%, IF(AB32&lt;=1200, AB32*16%,
            IF(AB32&gt;1200, AB32*18%, 0)
         )
      )
   )
)))</f>
        <v>189.92000000000002</v>
      </c>
      <c r="O32" s="13">
        <v>50</v>
      </c>
      <c r="P32" s="13">
        <f t="shared" si="75"/>
        <v>47.480000000000004</v>
      </c>
      <c r="Q32" s="13">
        <v>67.5</v>
      </c>
      <c r="R32" s="13">
        <v>112.5</v>
      </c>
      <c r="S32" s="13">
        <f t="shared" si="1"/>
        <v>3</v>
      </c>
      <c r="T32" s="13">
        <v>5</v>
      </c>
      <c r="U32" s="13">
        <f t="shared" si="76"/>
        <v>59.35</v>
      </c>
      <c r="V32" s="13">
        <f t="shared" si="77"/>
        <v>35.61</v>
      </c>
      <c r="W32" s="13">
        <f t="shared" si="78"/>
        <v>181.06779661016947</v>
      </c>
      <c r="X32" s="13">
        <f t="shared" si="82"/>
        <v>1348.8355658101693</v>
      </c>
      <c r="Y32" s="13">
        <f t="shared" si="80"/>
        <v>-161.83556581016933</v>
      </c>
      <c r="Z32" s="15">
        <f t="shared" si="81"/>
        <v>-0.13633998804563549</v>
      </c>
      <c r="AA32" s="15">
        <v>0.18</v>
      </c>
      <c r="AB32" s="13">
        <f>VLOOKUP(B32,'[2]1773735559_4e7bc90ec61444bfa761'!$B:$E,4,0)</f>
        <v>1187</v>
      </c>
      <c r="AC32" s="13">
        <v>1187</v>
      </c>
      <c r="AD32" s="5"/>
    </row>
    <row r="33" spans="1:30" x14ac:dyDescent="0.25">
      <c r="A33" s="10">
        <v>0.23</v>
      </c>
      <c r="B33" s="11">
        <v>10232177</v>
      </c>
      <c r="C33" s="11" t="s">
        <v>135</v>
      </c>
      <c r="D33" s="10" t="s">
        <v>136</v>
      </c>
      <c r="E33" s="11" t="s">
        <v>126</v>
      </c>
      <c r="F33" s="11" t="s">
        <v>139</v>
      </c>
      <c r="G33" s="11" t="s">
        <v>41</v>
      </c>
      <c r="H33" s="10" t="s">
        <v>181</v>
      </c>
      <c r="I33" s="10" t="s">
        <v>134</v>
      </c>
      <c r="J33" s="10" t="s">
        <v>183</v>
      </c>
      <c r="K33" s="13">
        <v>866.42517900000007</v>
      </c>
      <c r="L33" s="13">
        <v>1022.3817112200001</v>
      </c>
      <c r="M33" s="13">
        <f t="shared" si="73"/>
        <v>164.9</v>
      </c>
      <c r="N33" s="14">
        <f>IF(AB33&lt;=300, AB33*2%,
   IF(AB33&lt;=400, AB33*4%,
      IF(AB33&lt;=500, AB33*6%,
         IF(AB33&lt;=700, AB33*8%, IF(AB33&lt;=900, AB33*13%, IF(AB33&lt;=1200, AB33*16%,
            IF(AB33&gt;1200, AB33*18%, 0)
         )
      )
   )
)))</f>
        <v>296.82</v>
      </c>
      <c r="O33" s="13">
        <v>50</v>
      </c>
      <c r="P33" s="13">
        <f t="shared" si="75"/>
        <v>65.960000000000008</v>
      </c>
      <c r="Q33" s="13">
        <v>67.5</v>
      </c>
      <c r="R33" s="13">
        <v>112.5</v>
      </c>
      <c r="S33" s="13">
        <f t="shared" si="1"/>
        <v>3.45</v>
      </c>
      <c r="T33" s="13">
        <v>5</v>
      </c>
      <c r="U33" s="13">
        <f t="shared" si="76"/>
        <v>82.45</v>
      </c>
      <c r="V33" s="13">
        <f t="shared" si="77"/>
        <v>49.47</v>
      </c>
      <c r="W33" s="13">
        <f t="shared" si="78"/>
        <v>251.54237288135596</v>
      </c>
      <c r="X33" s="13">
        <f t="shared" si="82"/>
        <v>1903.5175518813562</v>
      </c>
      <c r="Y33" s="13">
        <f t="shared" si="80"/>
        <v>-254.51755188135621</v>
      </c>
      <c r="Z33" s="15">
        <f t="shared" si="81"/>
        <v>-0.15434660514333307</v>
      </c>
      <c r="AA33" s="15">
        <v>0.18</v>
      </c>
      <c r="AB33" s="13">
        <f>VLOOKUP(B33,'[2]1773735559_4e7bc90ec61444bfa761'!$B:$E,4,0)</f>
        <v>1649</v>
      </c>
      <c r="AC33" s="13">
        <v>1699</v>
      </c>
      <c r="AD33" s="5"/>
    </row>
    <row r="34" spans="1:30" x14ac:dyDescent="0.25">
      <c r="A34" s="10">
        <v>0.54</v>
      </c>
      <c r="B34" s="11">
        <v>10229301</v>
      </c>
      <c r="C34" s="11" t="s">
        <v>137</v>
      </c>
      <c r="D34" s="10" t="s">
        <v>138</v>
      </c>
      <c r="E34" s="11" t="s">
        <v>126</v>
      </c>
      <c r="F34" s="11" t="s">
        <v>140</v>
      </c>
      <c r="G34" s="11" t="s">
        <v>41</v>
      </c>
      <c r="H34" s="10" t="s">
        <v>184</v>
      </c>
      <c r="I34" s="10" t="s">
        <v>141</v>
      </c>
      <c r="J34" s="10" t="s">
        <v>185</v>
      </c>
      <c r="K34" s="13">
        <v>2273.0919402000004</v>
      </c>
      <c r="L34" s="13">
        <v>2682.2484894360005</v>
      </c>
      <c r="M34" s="13">
        <f t="shared" si="73"/>
        <v>499.90000000000003</v>
      </c>
      <c r="N34" s="14">
        <f t="shared" ref="N34" si="83">IF(AB34&lt;=700, AB34*2%,
   IF(AB34&lt;=900, AB34*4%,
      IF(AB34&lt;=1200, AB34*6%,
            IF(AB34&gt;1200, AB34*8%, 0)
         )
      )
   )</f>
        <v>399.92</v>
      </c>
      <c r="O34" s="13">
        <v>50</v>
      </c>
      <c r="P34" s="13">
        <f t="shared" si="75"/>
        <v>199.96</v>
      </c>
      <c r="Q34" s="13">
        <v>67.5</v>
      </c>
      <c r="R34" s="13">
        <v>112.5</v>
      </c>
      <c r="S34" s="13">
        <f t="shared" si="1"/>
        <v>8.1000000000000014</v>
      </c>
      <c r="T34" s="13">
        <v>5</v>
      </c>
      <c r="U34" s="13">
        <f t="shared" si="76"/>
        <v>249.95000000000002</v>
      </c>
      <c r="V34" s="13">
        <f t="shared" si="77"/>
        <v>149.97</v>
      </c>
      <c r="W34" s="13">
        <f t="shared" si="78"/>
        <v>762.55932203389784</v>
      </c>
      <c r="X34" s="13">
        <f t="shared" si="82"/>
        <v>4665.951262233898</v>
      </c>
      <c r="Y34" s="13">
        <f t="shared" si="80"/>
        <v>333.04873776610202</v>
      </c>
      <c r="Z34" s="15">
        <f t="shared" si="81"/>
        <v>6.6623072167653938E-2</v>
      </c>
      <c r="AA34" s="15">
        <v>0.08</v>
      </c>
      <c r="AB34" s="13">
        <f>VLOOKUP(B34,'[2]1773735559_4e7bc90ec61444bfa761'!$B:$E,4,0)</f>
        <v>4999</v>
      </c>
      <c r="AC34" s="13">
        <v>5099</v>
      </c>
      <c r="AD3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Cambium Retail</dc:creator>
  <cp:lastModifiedBy>Cambium Retail</cp:lastModifiedBy>
  <dcterms:created xsi:type="dcterms:W3CDTF">2026-04-01T09:33:57Z</dcterms:created>
  <dcterms:modified xsi:type="dcterms:W3CDTF">2026-04-01T11:17:13Z</dcterms:modified>
</cp:coreProperties>
</file>